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1FF40B35-95FF-415A-A8E0-53B3431B5C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ANUARY 26" sheetId="1" r:id="rId1"/>
    <sheet name="FEBRUARY 26" sheetId="3" r:id="rId2"/>
    <sheet name="OVEERVIEW DESPESAS 2026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7" i="2" l="1"/>
  <c r="X21" i="2"/>
  <c r="V21" i="2"/>
  <c r="T21" i="2"/>
  <c r="R21" i="2"/>
  <c r="P21" i="2"/>
  <c r="N21" i="2"/>
  <c r="L21" i="2"/>
  <c r="J21" i="2"/>
  <c r="H21" i="2"/>
  <c r="F21" i="2"/>
  <c r="D21" i="2"/>
  <c r="W30" i="3"/>
  <c r="U30" i="3"/>
  <c r="S30" i="3"/>
  <c r="Q30" i="3"/>
  <c r="Q31" i="3" s="1"/>
  <c r="O30" i="3"/>
  <c r="M30" i="3"/>
  <c r="J30" i="3"/>
  <c r="J31" i="3" s="1"/>
  <c r="Q32" i="3" s="1"/>
  <c r="Q33" i="3" s="1"/>
  <c r="I23" i="3"/>
  <c r="I29" i="3" s="1"/>
  <c r="I30" i="3" s="1"/>
  <c r="D12" i="3"/>
  <c r="D6" i="3"/>
  <c r="D4" i="3"/>
  <c r="D3" i="3"/>
  <c r="Z9" i="2"/>
  <c r="AB9" i="2"/>
  <c r="Z10" i="2"/>
  <c r="AB10" i="2"/>
  <c r="Z11" i="2"/>
  <c r="AB11" i="2"/>
  <c r="Z12" i="2"/>
  <c r="AB12" i="2"/>
  <c r="Z13" i="2"/>
  <c r="AB13" i="2"/>
  <c r="Z14" i="2"/>
  <c r="AB14" i="2"/>
  <c r="Z15" i="2"/>
  <c r="AB15" i="2"/>
  <c r="D16" i="2"/>
  <c r="F16" i="2"/>
  <c r="H16" i="2"/>
  <c r="J16" i="2"/>
  <c r="L16" i="2"/>
  <c r="N16" i="2"/>
  <c r="P16" i="2"/>
  <c r="R16" i="2"/>
  <c r="T16" i="2"/>
  <c r="V16" i="2"/>
  <c r="X16" i="2"/>
  <c r="B16" i="2"/>
  <c r="O9" i="2"/>
  <c r="Q9" i="2"/>
  <c r="S9" i="2"/>
  <c r="U9" i="2"/>
  <c r="W9" i="2"/>
  <c r="Y9" i="2"/>
  <c r="O10" i="2"/>
  <c r="Q10" i="2"/>
  <c r="S10" i="2"/>
  <c r="U10" i="2"/>
  <c r="W10" i="2"/>
  <c r="Y10" i="2"/>
  <c r="O11" i="2"/>
  <c r="Q11" i="2"/>
  <c r="S11" i="2"/>
  <c r="U11" i="2"/>
  <c r="W11" i="2"/>
  <c r="Y11" i="2"/>
  <c r="O12" i="2"/>
  <c r="Q12" i="2"/>
  <c r="S12" i="2"/>
  <c r="U12" i="2"/>
  <c r="W12" i="2"/>
  <c r="Y12" i="2"/>
  <c r="O13" i="2"/>
  <c r="Q13" i="2"/>
  <c r="S13" i="2"/>
  <c r="U13" i="2"/>
  <c r="W13" i="2"/>
  <c r="Y13" i="2"/>
  <c r="O14" i="2"/>
  <c r="Q14" i="2"/>
  <c r="S14" i="2"/>
  <c r="U14" i="2"/>
  <c r="W14" i="2"/>
  <c r="Y14" i="2"/>
  <c r="O15" i="2"/>
  <c r="Q15" i="2"/>
  <c r="S15" i="2"/>
  <c r="U15" i="2"/>
  <c r="W15" i="2"/>
  <c r="Y15" i="2"/>
  <c r="M9" i="2"/>
  <c r="M10" i="2"/>
  <c r="M11" i="2"/>
  <c r="M12" i="2"/>
  <c r="M13" i="2"/>
  <c r="M14" i="2"/>
  <c r="M15" i="2"/>
  <c r="K9" i="2"/>
  <c r="K10" i="2"/>
  <c r="K11" i="2"/>
  <c r="K12" i="2"/>
  <c r="K13" i="2"/>
  <c r="K14" i="2"/>
  <c r="K15" i="2"/>
  <c r="I9" i="2"/>
  <c r="I10" i="2"/>
  <c r="I11" i="2"/>
  <c r="I12" i="2"/>
  <c r="I13" i="2"/>
  <c r="I14" i="2"/>
  <c r="I15" i="2"/>
  <c r="G9" i="2"/>
  <c r="G10" i="2"/>
  <c r="G11" i="2"/>
  <c r="G12" i="2"/>
  <c r="G13" i="2"/>
  <c r="G14" i="2"/>
  <c r="G15" i="2"/>
  <c r="E9" i="2"/>
  <c r="E10" i="2"/>
  <c r="E11" i="2"/>
  <c r="E12" i="2"/>
  <c r="E13" i="2"/>
  <c r="E14" i="2"/>
  <c r="E15" i="2"/>
  <c r="C9" i="2"/>
  <c r="C10" i="2"/>
  <c r="C11" i="2"/>
  <c r="C12" i="2"/>
  <c r="C13" i="2"/>
  <c r="C14" i="2"/>
  <c r="C15" i="2"/>
  <c r="I23" i="1"/>
  <c r="U30" i="1"/>
  <c r="O30" i="1"/>
  <c r="M30" i="1"/>
  <c r="J30" i="1"/>
  <c r="J31" i="1" s="1"/>
  <c r="D12" i="1"/>
  <c r="I29" i="1"/>
  <c r="Q30" i="1"/>
  <c r="S30" i="1"/>
  <c r="W30" i="1"/>
  <c r="AB18" i="2"/>
  <c r="Z18" i="2"/>
  <c r="V19" i="2"/>
  <c r="T19" i="2"/>
  <c r="R19" i="2"/>
  <c r="P19" i="2"/>
  <c r="N19" i="2"/>
  <c r="L19" i="2"/>
  <c r="J19" i="2"/>
  <c r="H19" i="2"/>
  <c r="F19" i="2"/>
  <c r="D19" i="2"/>
  <c r="B19" i="2"/>
  <c r="AB8" i="2"/>
  <c r="Z8" i="2"/>
  <c r="Y8" i="2"/>
  <c r="W8" i="2"/>
  <c r="U8" i="2"/>
  <c r="S8" i="2"/>
  <c r="Q8" i="2"/>
  <c r="O8" i="2"/>
  <c r="M8" i="2"/>
  <c r="K8" i="2"/>
  <c r="I8" i="2"/>
  <c r="G8" i="2"/>
  <c r="E8" i="2"/>
  <c r="C8" i="2"/>
  <c r="AB7" i="2"/>
  <c r="Z7" i="2"/>
  <c r="Y7" i="2"/>
  <c r="W7" i="2"/>
  <c r="U7" i="2"/>
  <c r="S7" i="2"/>
  <c r="Q7" i="2"/>
  <c r="O7" i="2"/>
  <c r="M7" i="2"/>
  <c r="K7" i="2"/>
  <c r="I7" i="2"/>
  <c r="G7" i="2"/>
  <c r="E7" i="2"/>
  <c r="C7" i="2"/>
  <c r="AB6" i="2"/>
  <c r="Z6" i="2"/>
  <c r="Y6" i="2"/>
  <c r="W6" i="2"/>
  <c r="U6" i="2"/>
  <c r="S6" i="2"/>
  <c r="Q6" i="2"/>
  <c r="O6" i="2"/>
  <c r="M6" i="2"/>
  <c r="K6" i="2"/>
  <c r="I6" i="2"/>
  <c r="G6" i="2"/>
  <c r="E6" i="2"/>
  <c r="C6" i="2"/>
  <c r="AB5" i="2"/>
  <c r="Z5" i="2"/>
  <c r="Y5" i="2"/>
  <c r="W5" i="2"/>
  <c r="U5" i="2"/>
  <c r="S5" i="2"/>
  <c r="Q5" i="2"/>
  <c r="O5" i="2"/>
  <c r="M5" i="2"/>
  <c r="K5" i="2"/>
  <c r="I5" i="2"/>
  <c r="G5" i="2"/>
  <c r="E5" i="2"/>
  <c r="C5" i="2"/>
  <c r="AB4" i="2"/>
  <c r="Z4" i="2"/>
  <c r="Y4" i="2"/>
  <c r="W4" i="2"/>
  <c r="U4" i="2"/>
  <c r="S4" i="2"/>
  <c r="Q4" i="2"/>
  <c r="O4" i="2"/>
  <c r="M4" i="2"/>
  <c r="K4" i="2"/>
  <c r="I4" i="2"/>
  <c r="G4" i="2"/>
  <c r="E4" i="2"/>
  <c r="C4" i="2"/>
  <c r="AB3" i="2"/>
  <c r="Z3" i="2"/>
  <c r="Z16" i="2" s="1"/>
  <c r="Y3" i="2"/>
  <c r="W3" i="2"/>
  <c r="U3" i="2"/>
  <c r="S3" i="2"/>
  <c r="Q3" i="2"/>
  <c r="O3" i="2"/>
  <c r="M3" i="2"/>
  <c r="K3" i="2"/>
  <c r="I3" i="2"/>
  <c r="G3" i="2"/>
  <c r="E3" i="2"/>
  <c r="C3" i="2"/>
  <c r="Z20" i="2" l="1"/>
  <c r="B21" i="2"/>
  <c r="D5" i="3"/>
  <c r="D3" i="1"/>
  <c r="AA9" i="2"/>
  <c r="AA10" i="2"/>
  <c r="AA11" i="2"/>
  <c r="AA12" i="2"/>
  <c r="AA13" i="2"/>
  <c r="AA14" i="2"/>
  <c r="AA15" i="2"/>
  <c r="Q31" i="1"/>
  <c r="AA3" i="2"/>
  <c r="AA4" i="2"/>
  <c r="AA5" i="2"/>
  <c r="AA6" i="2"/>
  <c r="AA7" i="2"/>
  <c r="AA8" i="2"/>
  <c r="X19" i="2"/>
  <c r="Z19" i="2" s="1"/>
  <c r="AB16" i="2"/>
  <c r="D4" i="1" l="1"/>
  <c r="D5" i="1" s="1"/>
  <c r="Q32" i="1"/>
  <c r="Q33" i="1"/>
  <c r="I30" i="1"/>
  <c r="D6" i="1" s="1"/>
  <c r="AB19" i="2"/>
</calcChain>
</file>

<file path=xl/sharedStrings.xml><?xml version="1.0" encoding="utf-8"?>
<sst xmlns="http://schemas.openxmlformats.org/spreadsheetml/2006/main" count="212" uniqueCount="86">
  <si>
    <t>Essentials</t>
  </si>
  <si>
    <t>INCOME</t>
  </si>
  <si>
    <t>EXPENSES</t>
  </si>
  <si>
    <t xml:space="preserve">Lifestyle </t>
  </si>
  <si>
    <t>ESSENTIALS</t>
  </si>
  <si>
    <t>LIFESTYLE</t>
  </si>
  <si>
    <t>TOTAL</t>
  </si>
  <si>
    <t>Date</t>
  </si>
  <si>
    <t>WHAT</t>
  </si>
  <si>
    <t>€</t>
  </si>
  <si>
    <t>BILLS</t>
  </si>
  <si>
    <t>DOG SUPPLIES</t>
  </si>
  <si>
    <t>GROCERIES</t>
  </si>
  <si>
    <t>OUT</t>
  </si>
  <si>
    <t>SHOPPING</t>
  </si>
  <si>
    <t>SUBSCRIPTIONS &amp; SERVICES</t>
  </si>
  <si>
    <t>PROJECTS AND STUDIES</t>
  </si>
  <si>
    <t>BOI</t>
  </si>
  <si>
    <t>Mês Anterior</t>
  </si>
  <si>
    <t>Description</t>
  </si>
  <si>
    <t>W</t>
  </si>
  <si>
    <t xml:space="preserve">Zanzibar </t>
  </si>
  <si>
    <t>Rent</t>
  </si>
  <si>
    <t>Dog Food</t>
  </si>
  <si>
    <t>PERSONAL SPENDINGS</t>
  </si>
  <si>
    <t>GYM</t>
  </si>
  <si>
    <t xml:space="preserve">Curso data analist </t>
  </si>
  <si>
    <t xml:space="preserve">Electricity </t>
  </si>
  <si>
    <t>PIncéis Makeup</t>
  </si>
  <si>
    <t>TV</t>
  </si>
  <si>
    <t>SAFE</t>
  </si>
  <si>
    <t>6\1</t>
  </si>
  <si>
    <t>Internet</t>
  </si>
  <si>
    <t xml:space="preserve">shiki </t>
  </si>
  <si>
    <t xml:space="preserve">Etsy </t>
  </si>
  <si>
    <t>Desde o mês passado</t>
  </si>
  <si>
    <t>BOI Maintance</t>
  </si>
  <si>
    <t>Este mês</t>
  </si>
  <si>
    <t xml:space="preserve">Zanibar </t>
  </si>
  <si>
    <t>TRANSPORTATION</t>
  </si>
  <si>
    <t>tips</t>
  </si>
  <si>
    <t>Diesel</t>
  </si>
  <si>
    <t>Car Repair</t>
  </si>
  <si>
    <t>ETC</t>
  </si>
  <si>
    <t>TRAVEL</t>
  </si>
  <si>
    <t>Car park</t>
  </si>
  <si>
    <t>Prenda Carlos</t>
  </si>
  <si>
    <t>Troll</t>
  </si>
  <si>
    <t>UNKNOWN</t>
  </si>
  <si>
    <t>HEALTH</t>
  </si>
  <si>
    <t>HOME FORNITURE</t>
  </si>
  <si>
    <t>Sideboard</t>
  </si>
  <si>
    <t>Jysk (trolley)</t>
  </si>
  <si>
    <t>Dining table</t>
  </si>
  <si>
    <t>TOTAL:</t>
  </si>
  <si>
    <t>LEFT TO SPEND (máx 1300 \ m)</t>
  </si>
  <si>
    <t>26\1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</si>
  <si>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</si>
  <si>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</si>
  <si>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</si>
  <si>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</si>
  <si>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</si>
  <si>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</si>
  <si>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</si>
  <si>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</si>
  <si>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</si>
  <si>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</si>
  <si>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</si>
  <si>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</si>
  <si>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ANUAL 2026</t>
  </si>
  <si>
    <t xml:space="preserve">Total </t>
  </si>
  <si>
    <t>% das despesas</t>
  </si>
  <si>
    <t>Média</t>
  </si>
  <si>
    <t>RENT</t>
  </si>
  <si>
    <t>TRANSPOSTATION</t>
  </si>
  <si>
    <t>VETERINARY</t>
  </si>
  <si>
    <t xml:space="preserve">SHOPPING HOME </t>
  </si>
  <si>
    <t>SHOPPING PERSONAL</t>
  </si>
  <si>
    <t>SUBSCRIPTIONS</t>
  </si>
  <si>
    <t xml:space="preserve">PROJECTS </t>
  </si>
  <si>
    <t>TOTAL DESPESAS</t>
  </si>
  <si>
    <t>ORDENADO BRUTO</t>
  </si>
  <si>
    <t>ORDENADO LÍQUIDO</t>
  </si>
  <si>
    <t>DIFERENÇA (despesas vs ordenado líquido)</t>
  </si>
  <si>
    <t>REAL SAFE</t>
  </si>
  <si>
    <t>MISSING FROM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</si>
</sst>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[$€-83C]#,##0.00"/>
    <numFmt numFmtId="166" formatCode="_([$€-2]\ * #,##0.00_);_([$€-2]\ * \(#,##0.00\);_([$€-2]\ * &quot;-&quot;??_);_(@_)"/>
    <numFmt numFmtId="167" formatCode="_ * #,##0.00_)\ &quot;€&quot;_ ;_ * \(#,##0.00\)\ &quot;€&quot;_ ;_ * &quot;-&quot;??_)\ &quot;€&quot;_ ;_ @_ "/>
    <numFmt numFmtId="168" formatCode="_-[$€-2]\ * #,##0.00_-;\-[$€-2]\ * #,##0.00_-;_-[$€-2]\ * &quot;-&quot;??_-;_-@_-"/>
  </numFmts>
  <fonts count="1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242424"/>
      <name val="Aptos Narrow"/>
      <family val="2"/>
      <charset val="1"/>
    </font>
    <font>
      <b/>
      <sz val="12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05">
    <xf numFmtId="0" fontId="0" fillId="0" borderId="0" xfId="0"/>
    <xf numFmtId="164" fontId="3" fillId="2" borderId="8" xfId="1" applyNumberFormat="1" applyFont="1" applyFill="1" applyBorder="1" applyAlignment="1">
      <alignment horizontal="center" vertical="center" wrapText="1"/>
    </xf>
    <xf numFmtId="10" fontId="3" fillId="2" borderId="0" xfId="1" applyNumberFormat="1" applyFont="1" applyFill="1" applyAlignment="1">
      <alignment horizontal="center" vertical="center" wrapText="1"/>
    </xf>
    <xf numFmtId="10" fontId="3" fillId="2" borderId="9" xfId="1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4" fontId="3" fillId="2" borderId="10" xfId="1" applyNumberFormat="1" applyFont="1" applyFill="1" applyBorder="1" applyAlignment="1">
      <alignment horizontal="center" vertical="center" wrapText="1"/>
    </xf>
    <xf numFmtId="10" fontId="3" fillId="2" borderId="11" xfId="1" applyNumberFormat="1" applyFont="1" applyFill="1" applyBorder="1" applyAlignment="1">
      <alignment horizontal="center" vertical="center" wrapText="1"/>
    </xf>
    <xf numFmtId="10" fontId="3" fillId="2" borderId="12" xfId="1" applyNumberFormat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vertical="center" wrapText="1"/>
    </xf>
    <xf numFmtId="165" fontId="0" fillId="2" borderId="18" xfId="2" applyNumberFormat="1" applyFont="1" applyFill="1" applyBorder="1" applyAlignment="1"/>
    <xf numFmtId="0" fontId="2" fillId="0" borderId="21" xfId="1" applyFont="1" applyBorder="1"/>
    <xf numFmtId="165" fontId="0" fillId="0" borderId="18" xfId="2" applyNumberFormat="1" applyFont="1" applyFill="1" applyBorder="1" applyAlignment="1"/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1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5" fillId="0" borderId="0" xfId="0" applyNumberFormat="1" applyFont="1"/>
    <xf numFmtId="164" fontId="7" fillId="0" borderId="0" xfId="0" applyNumberFormat="1" applyFont="1" applyAlignment="1">
      <alignment horizontal="center"/>
    </xf>
    <xf numFmtId="167" fontId="5" fillId="0" borderId="0" xfId="0" applyNumberFormat="1" applyFont="1"/>
    <xf numFmtId="167" fontId="5" fillId="0" borderId="0" xfId="0" applyNumberFormat="1" applyFont="1" applyAlignment="1">
      <alignment horizontal="right"/>
    </xf>
    <xf numFmtId="9" fontId="0" fillId="0" borderId="0" xfId="0" applyNumberFormat="1"/>
    <xf numFmtId="0" fontId="4" fillId="0" borderId="0" xfId="0" applyFont="1"/>
    <xf numFmtId="166" fontId="5" fillId="0" borderId="9" xfId="0" applyNumberFormat="1" applyFont="1" applyBorder="1"/>
    <xf numFmtId="0" fontId="7" fillId="0" borderId="0" xfId="0" applyFont="1" applyFill="1" applyBorder="1"/>
    <xf numFmtId="0" fontId="5" fillId="0" borderId="0" xfId="0" applyFont="1" applyFill="1" applyBorder="1"/>
    <xf numFmtId="0" fontId="7" fillId="0" borderId="0" xfId="0" applyFont="1" applyFill="1" applyBorder="1" applyAlignment="1"/>
    <xf numFmtId="166" fontId="7" fillId="0" borderId="0" xfId="0" applyNumberFormat="1" applyFont="1" applyBorder="1" applyAlignment="1">
      <alignment horizontal="center"/>
    </xf>
    <xf numFmtId="0" fontId="9" fillId="0" borderId="0" xfId="0" applyFont="1" applyBorder="1" applyAlignment="1"/>
    <xf numFmtId="164" fontId="7" fillId="0" borderId="8" xfId="0" applyNumberFormat="1" applyFont="1" applyBorder="1"/>
    <xf numFmtId="164" fontId="7" fillId="0" borderId="0" xfId="0" applyNumberFormat="1" applyFont="1" applyBorder="1" applyAlignment="1">
      <alignment horizontal="center" vertical="center"/>
    </xf>
    <xf numFmtId="164" fontId="5" fillId="0" borderId="8" xfId="0" applyNumberFormat="1" applyFont="1" applyBorder="1"/>
    <xf numFmtId="164" fontId="5" fillId="0" borderId="0" xfId="0" applyNumberFormat="1" applyFont="1" applyBorder="1"/>
    <xf numFmtId="164" fontId="7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167" fontId="5" fillId="0" borderId="8" xfId="0" applyNumberFormat="1" applyFont="1" applyBorder="1" applyAlignment="1">
      <alignment horizontal="center"/>
    </xf>
    <xf numFmtId="167" fontId="5" fillId="0" borderId="0" xfId="0" applyNumberFormat="1" applyFont="1" applyBorder="1"/>
    <xf numFmtId="167" fontId="5" fillId="0" borderId="8" xfId="0" applyNumberFormat="1" applyFont="1" applyBorder="1"/>
    <xf numFmtId="0" fontId="5" fillId="0" borderId="8" xfId="0" applyFont="1" applyBorder="1"/>
    <xf numFmtId="0" fontId="0" fillId="0" borderId="0" xfId="0" applyBorder="1"/>
    <xf numFmtId="164" fontId="7" fillId="0" borderId="8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164" fontId="7" fillId="0" borderId="8" xfId="0" applyNumberFormat="1" applyFont="1" applyBorder="1" applyAlignment="1">
      <alignment horizontal="center"/>
    </xf>
    <xf numFmtId="166" fontId="5" fillId="0" borderId="8" xfId="0" applyNumberFormat="1" applyFont="1" applyBorder="1"/>
    <xf numFmtId="0" fontId="7" fillId="0" borderId="8" xfId="0" applyFont="1" applyBorder="1"/>
    <xf numFmtId="0" fontId="7" fillId="0" borderId="8" xfId="0" applyFont="1" applyBorder="1" applyAlignment="1"/>
    <xf numFmtId="0" fontId="9" fillId="0" borderId="8" xfId="0" applyFont="1" applyBorder="1" applyAlignment="1"/>
    <xf numFmtId="168" fontId="5" fillId="0" borderId="0" xfId="0" applyNumberFormat="1" applyFont="1" applyBorder="1" applyAlignment="1">
      <alignment horizontal="right"/>
    </xf>
    <xf numFmtId="168" fontId="0" fillId="0" borderId="0" xfId="0" applyNumberFormat="1" applyBorder="1"/>
    <xf numFmtId="168" fontId="7" fillId="0" borderId="0" xfId="0" applyNumberFormat="1" applyFont="1" applyBorder="1" applyAlignment="1">
      <alignment horizontal="right"/>
    </xf>
    <xf numFmtId="168" fontId="7" fillId="0" borderId="0" xfId="0" applyNumberFormat="1" applyFont="1" applyBorder="1" applyAlignment="1">
      <alignment horizontal="center"/>
    </xf>
    <xf numFmtId="168" fontId="5" fillId="0" borderId="0" xfId="0" applyNumberFormat="1" applyFont="1" applyBorder="1"/>
    <xf numFmtId="168" fontId="7" fillId="0" borderId="0" xfId="0" applyNumberFormat="1" applyFont="1" applyBorder="1" applyAlignment="1"/>
    <xf numFmtId="168" fontId="5" fillId="0" borderId="9" xfId="0" applyNumberFormat="1" applyFont="1" applyBorder="1"/>
    <xf numFmtId="168" fontId="7" fillId="0" borderId="9" xfId="0" applyNumberFormat="1" applyFont="1" applyBorder="1" applyAlignment="1"/>
    <xf numFmtId="168" fontId="5" fillId="0" borderId="9" xfId="0" applyNumberFormat="1" applyFont="1" applyBorder="1" applyAlignment="1">
      <alignment horizontal="right"/>
    </xf>
    <xf numFmtId="168" fontId="9" fillId="0" borderId="9" xfId="0" applyNumberFormat="1" applyFont="1" applyBorder="1" applyAlignment="1"/>
    <xf numFmtId="0" fontId="5" fillId="4" borderId="0" xfId="0" applyFont="1" applyFill="1" applyBorder="1"/>
    <xf numFmtId="168" fontId="5" fillId="4" borderId="0" xfId="0" applyNumberFormat="1" applyFont="1" applyFill="1" applyBorder="1" applyAlignment="1">
      <alignment horizontal="right"/>
    </xf>
    <xf numFmtId="166" fontId="5" fillId="3" borderId="20" xfId="0" applyNumberFormat="1" applyFont="1" applyFill="1" applyBorder="1"/>
    <xf numFmtId="0" fontId="6" fillId="0" borderId="0" xfId="0" applyFont="1" applyBorder="1" applyAlignment="1">
      <alignment horizontal="center"/>
    </xf>
    <xf numFmtId="167" fontId="5" fillId="0" borderId="0" xfId="0" applyNumberFormat="1" applyFont="1" applyBorder="1" applyAlignment="1">
      <alignment horizontal="center"/>
    </xf>
    <xf numFmtId="0" fontId="7" fillId="6" borderId="1" xfId="0" applyFont="1" applyFill="1" applyBorder="1"/>
    <xf numFmtId="166" fontId="5" fillId="6" borderId="3" xfId="0" applyNumberFormat="1" applyFont="1" applyFill="1" applyBorder="1"/>
    <xf numFmtId="0" fontId="7" fillId="5" borderId="8" xfId="0" applyFont="1" applyFill="1" applyBorder="1"/>
    <xf numFmtId="166" fontId="5" fillId="5" borderId="9" xfId="0" applyNumberFormat="1" applyFont="1" applyFill="1" applyBorder="1"/>
    <xf numFmtId="0" fontId="7" fillId="4" borderId="8" xfId="0" applyFont="1" applyFill="1" applyBorder="1"/>
    <xf numFmtId="166" fontId="5" fillId="4" borderId="9" xfId="0" applyNumberFormat="1" applyFont="1" applyFill="1" applyBorder="1"/>
    <xf numFmtId="0" fontId="7" fillId="3" borderId="19" xfId="0" applyFont="1" applyFill="1" applyBorder="1"/>
    <xf numFmtId="0" fontId="5" fillId="4" borderId="19" xfId="0" applyFont="1" applyFill="1" applyBorder="1"/>
    <xf numFmtId="166" fontId="5" fillId="4" borderId="20" xfId="0" applyNumberFormat="1" applyFont="1" applyFill="1" applyBorder="1"/>
    <xf numFmtId="164" fontId="5" fillId="0" borderId="0" xfId="0" applyNumberFormat="1" applyFont="1" applyBorder="1" applyAlignment="1">
      <alignment horizontal="right"/>
    </xf>
    <xf numFmtId="168" fontId="5" fillId="4" borderId="33" xfId="0" applyNumberFormat="1" applyFont="1" applyFill="1" applyBorder="1" applyAlignment="1">
      <alignment horizontal="right"/>
    </xf>
    <xf numFmtId="0" fontId="0" fillId="0" borderId="8" xfId="0" applyFont="1" applyBorder="1" applyAlignment="1">
      <alignment horizontal="left"/>
    </xf>
    <xf numFmtId="0" fontId="2" fillId="6" borderId="13" xfId="1" applyFont="1" applyFill="1" applyBorder="1" applyAlignment="1">
      <alignment wrapText="1"/>
    </xf>
    <xf numFmtId="164" fontId="1" fillId="6" borderId="7" xfId="2" applyNumberFormat="1" applyFont="1" applyFill="1" applyBorder="1" applyAlignment="1">
      <alignment horizontal="right" wrapText="1"/>
    </xf>
    <xf numFmtId="10" fontId="1" fillId="6" borderId="14" xfId="2" applyNumberFormat="1" applyFont="1" applyFill="1" applyBorder="1" applyAlignment="1">
      <alignment horizontal="right" wrapText="1"/>
    </xf>
    <xf numFmtId="10" fontId="1" fillId="6" borderId="15" xfId="2" applyNumberFormat="1" applyFont="1" applyFill="1" applyBorder="1" applyAlignment="1">
      <alignment horizontal="right" wrapText="1"/>
    </xf>
    <xf numFmtId="164" fontId="1" fillId="6" borderId="16" xfId="2" applyNumberFormat="1" applyFont="1" applyFill="1" applyBorder="1" applyAlignment="1">
      <alignment horizontal="right" wrapText="1"/>
    </xf>
    <xf numFmtId="164" fontId="1" fillId="6" borderId="17" xfId="1" applyNumberFormat="1" applyFill="1" applyBorder="1"/>
    <xf numFmtId="10" fontId="0" fillId="6" borderId="16" xfId="2" applyNumberFormat="1" applyFont="1" applyFill="1" applyBorder="1" applyAlignment="1"/>
    <xf numFmtId="165" fontId="0" fillId="6" borderId="18" xfId="2" applyNumberFormat="1" applyFont="1" applyFill="1" applyBorder="1" applyAlignment="1"/>
    <xf numFmtId="0" fontId="2" fillId="6" borderId="21" xfId="1" applyFont="1" applyFill="1" applyBorder="1" applyAlignment="1">
      <alignment wrapText="1"/>
    </xf>
    <xf numFmtId="164" fontId="1" fillId="6" borderId="14" xfId="2" applyNumberFormat="1" applyFont="1" applyFill="1" applyBorder="1" applyAlignment="1">
      <alignment horizontal="right" wrapText="1"/>
    </xf>
    <xf numFmtId="0" fontId="2" fillId="6" borderId="24" xfId="1" applyFont="1" applyFill="1" applyBorder="1" applyAlignment="1">
      <alignment wrapText="1"/>
    </xf>
    <xf numFmtId="0" fontId="2" fillId="7" borderId="24" xfId="1" applyFont="1" applyFill="1" applyBorder="1" applyAlignment="1">
      <alignment wrapText="1"/>
    </xf>
    <xf numFmtId="164" fontId="1" fillId="7" borderId="16" xfId="2" applyNumberFormat="1" applyFont="1" applyFill="1" applyBorder="1" applyAlignment="1">
      <alignment horizontal="right" wrapText="1"/>
    </xf>
    <xf numFmtId="10" fontId="1" fillId="7" borderId="14" xfId="2" applyNumberFormat="1" applyFont="1" applyFill="1" applyBorder="1" applyAlignment="1">
      <alignment horizontal="right" wrapText="1"/>
    </xf>
    <xf numFmtId="164" fontId="1" fillId="7" borderId="7" xfId="2" applyNumberFormat="1" applyFont="1" applyFill="1" applyBorder="1" applyAlignment="1">
      <alignment horizontal="right" wrapText="1"/>
    </xf>
    <xf numFmtId="10" fontId="1" fillId="7" borderId="15" xfId="2" applyNumberFormat="1" applyFont="1" applyFill="1" applyBorder="1" applyAlignment="1">
      <alignment horizontal="right" wrapText="1"/>
    </xf>
    <xf numFmtId="164" fontId="1" fillId="7" borderId="17" xfId="1" applyNumberFormat="1" applyFill="1" applyBorder="1"/>
    <xf numFmtId="10" fontId="0" fillId="7" borderId="16" xfId="2" applyNumberFormat="1" applyFont="1" applyFill="1" applyBorder="1" applyAlignment="1"/>
    <xf numFmtId="165" fontId="0" fillId="7" borderId="18" xfId="2" applyNumberFormat="1" applyFont="1" applyFill="1" applyBorder="1" applyAlignment="1"/>
    <xf numFmtId="164" fontId="1" fillId="7" borderId="14" xfId="2" applyNumberFormat="1" applyFont="1" applyFill="1" applyBorder="1" applyAlignment="1">
      <alignment horizontal="right" wrapText="1"/>
    </xf>
    <xf numFmtId="168" fontId="0" fillId="0" borderId="0" xfId="0" applyNumberFormat="1" applyFont="1" applyBorder="1" applyAlignment="1">
      <alignment horizontal="center"/>
    </xf>
    <xf numFmtId="168" fontId="5" fillId="4" borderId="34" xfId="0" applyNumberFormat="1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164" fontId="5" fillId="0" borderId="9" xfId="0" applyNumberFormat="1" applyFont="1" applyBorder="1" applyAlignment="1">
      <alignment horizontal="right"/>
    </xf>
    <xf numFmtId="0" fontId="0" fillId="0" borderId="8" xfId="0" applyBorder="1"/>
    <xf numFmtId="0" fontId="5" fillId="0" borderId="8" xfId="0" applyFont="1" applyFill="1" applyBorder="1"/>
    <xf numFmtId="168" fontId="5" fillId="0" borderId="0" xfId="0" applyNumberFormat="1" applyFont="1" applyFill="1" applyBorder="1"/>
    <xf numFmtId="0" fontId="0" fillId="0" borderId="24" xfId="0" applyBorder="1"/>
    <xf numFmtId="0" fontId="4" fillId="0" borderId="35" xfId="0" applyFont="1" applyBorder="1"/>
    <xf numFmtId="165" fontId="0" fillId="0" borderId="12" xfId="2" applyNumberFormat="1" applyFont="1" applyFill="1" applyBorder="1" applyAlignment="1"/>
    <xf numFmtId="0" fontId="2" fillId="0" borderId="46" xfId="1" applyFont="1" applyFill="1" applyBorder="1" applyAlignment="1">
      <alignment vertical="center" wrapText="1"/>
    </xf>
    <xf numFmtId="166" fontId="7" fillId="0" borderId="9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165" fontId="10" fillId="4" borderId="27" xfId="0" applyNumberFormat="1" applyFont="1" applyFill="1" applyBorder="1" applyAlignment="1">
      <alignment horizontal="center"/>
    </xf>
    <xf numFmtId="165" fontId="10" fillId="4" borderId="20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17" fontId="7" fillId="6" borderId="25" xfId="0" applyNumberFormat="1" applyFont="1" applyFill="1" applyBorder="1" applyAlignment="1">
      <alignment horizontal="center"/>
    </xf>
    <xf numFmtId="17" fontId="7" fillId="6" borderId="31" xfId="0" applyNumberFormat="1" applyFont="1" applyFill="1" applyBorder="1" applyAlignment="1">
      <alignment horizontal="center"/>
    </xf>
    <xf numFmtId="17" fontId="7" fillId="6" borderId="26" xfId="0" applyNumberFormat="1" applyFont="1" applyFill="1" applyBorder="1" applyAlignment="1">
      <alignment horizontal="center"/>
    </xf>
    <xf numFmtId="17" fontId="7" fillId="5" borderId="32" xfId="0" applyNumberFormat="1" applyFont="1" applyFill="1" applyBorder="1" applyAlignment="1">
      <alignment horizontal="center"/>
    </xf>
    <xf numFmtId="17" fontId="7" fillId="5" borderId="31" xfId="0" applyNumberFormat="1" applyFont="1" applyFill="1" applyBorder="1" applyAlignment="1">
      <alignment horizontal="center"/>
    </xf>
    <xf numFmtId="17" fontId="7" fillId="5" borderId="12" xfId="0" applyNumberFormat="1" applyFont="1" applyFill="1" applyBorder="1" applyAlignment="1">
      <alignment horizontal="center"/>
    </xf>
    <xf numFmtId="167" fontId="5" fillId="0" borderId="8" xfId="0" applyNumberFormat="1" applyFont="1" applyBorder="1" applyAlignment="1">
      <alignment horizontal="center" vertical="center"/>
    </xf>
    <xf numFmtId="164" fontId="7" fillId="6" borderId="27" xfId="0" applyNumberFormat="1" applyFont="1" applyFill="1" applyBorder="1" applyAlignment="1">
      <alignment horizontal="center"/>
    </xf>
    <xf numFmtId="164" fontId="7" fillId="5" borderId="19" xfId="0" applyNumberFormat="1" applyFont="1" applyFill="1" applyBorder="1" applyAlignment="1">
      <alignment horizontal="center"/>
    </xf>
    <xf numFmtId="164" fontId="7" fillId="5" borderId="27" xfId="0" applyNumberFormat="1" applyFont="1" applyFill="1" applyBorder="1" applyAlignment="1">
      <alignment horizontal="center"/>
    </xf>
    <xf numFmtId="164" fontId="7" fillId="5" borderId="20" xfId="0" applyNumberFormat="1" applyFont="1" applyFill="1" applyBorder="1" applyAlignment="1">
      <alignment horizontal="center"/>
    </xf>
    <xf numFmtId="168" fontId="5" fillId="6" borderId="27" xfId="0" applyNumberFormat="1" applyFont="1" applyFill="1" applyBorder="1" applyAlignment="1">
      <alignment horizontal="center"/>
    </xf>
    <xf numFmtId="168" fontId="5" fillId="6" borderId="19" xfId="0" applyNumberFormat="1" applyFont="1" applyFill="1" applyBorder="1" applyAlignment="1">
      <alignment horizontal="center"/>
    </xf>
    <xf numFmtId="168" fontId="5" fillId="5" borderId="19" xfId="0" applyNumberFormat="1" applyFont="1" applyFill="1" applyBorder="1" applyAlignment="1">
      <alignment horizontal="center"/>
    </xf>
    <xf numFmtId="168" fontId="5" fillId="5" borderId="27" xfId="0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8" fontId="5" fillId="6" borderId="20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165" fontId="8" fillId="4" borderId="2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7" fillId="4" borderId="19" xfId="0" applyNumberFormat="1" applyFont="1" applyFill="1" applyBorder="1" applyAlignment="1">
      <alignment horizontal="center" vertical="center"/>
    </xf>
    <xf numFmtId="164" fontId="7" fillId="4" borderId="27" xfId="0" applyNumberFormat="1" applyFont="1" applyFill="1" applyBorder="1" applyAlignment="1">
      <alignment horizontal="center" vertical="center"/>
    </xf>
    <xf numFmtId="164" fontId="7" fillId="4" borderId="20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166" fontId="7" fillId="0" borderId="9" xfId="0" applyNumberFormat="1" applyFont="1" applyBorder="1" applyAlignment="1">
      <alignment horizontal="center"/>
    </xf>
    <xf numFmtId="168" fontId="5" fillId="5" borderId="20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164" fontId="1" fillId="0" borderId="13" xfId="1" applyNumberFormat="1" applyFont="1" applyFill="1" applyBorder="1" applyAlignment="1">
      <alignment horizontal="center" vertical="center" wrapText="1"/>
    </xf>
    <xf numFmtId="164" fontId="1" fillId="0" borderId="52" xfId="1" applyNumberFormat="1" applyFont="1" applyFill="1" applyBorder="1" applyAlignment="1">
      <alignment horizontal="center" vertical="center" wrapText="1"/>
    </xf>
    <xf numFmtId="164" fontId="1" fillId="0" borderId="51" xfId="1" applyNumberFormat="1" applyFont="1" applyFill="1" applyBorder="1" applyAlignment="1">
      <alignment horizontal="center" vertical="center" wrapText="1"/>
    </xf>
    <xf numFmtId="164" fontId="0" fillId="0" borderId="51" xfId="0" applyNumberFormat="1" applyFont="1" applyFill="1" applyBorder="1" applyAlignment="1">
      <alignment horizontal="center"/>
    </xf>
    <xf numFmtId="164" fontId="0" fillId="0" borderId="52" xfId="0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164" fontId="1" fillId="0" borderId="21" xfId="1" applyNumberFormat="1" applyBorder="1" applyAlignment="1">
      <alignment horizontal="center"/>
    </xf>
    <xf numFmtId="164" fontId="1" fillId="0" borderId="23" xfId="1" applyNumberFormat="1" applyBorder="1" applyAlignment="1">
      <alignment horizontal="center"/>
    </xf>
    <xf numFmtId="164" fontId="1" fillId="0" borderId="22" xfId="1" applyNumberFormat="1" applyBorder="1" applyAlignment="1">
      <alignment horizontal="center"/>
    </xf>
    <xf numFmtId="164" fontId="1" fillId="0" borderId="53" xfId="1" applyNumberFormat="1" applyFont="1" applyFill="1" applyBorder="1" applyAlignment="1">
      <alignment horizontal="center" vertical="center" wrapText="1"/>
    </xf>
    <xf numFmtId="17" fontId="2" fillId="2" borderId="1" xfId="1" applyNumberFormat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16" xfId="1" applyNumberFormat="1" applyFont="1" applyFill="1" applyBorder="1" applyAlignment="1">
      <alignment horizontal="center" vertical="center" wrapText="1"/>
    </xf>
    <xf numFmtId="164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0" fillId="0" borderId="49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</cellXfs>
  <cellStyles count="3">
    <cellStyle name="Normal" xfId="0" builtinId="0"/>
    <cellStyle name="Normal 2" xfId="1" xr:uid="{CC3EC933-D2B0-47E0-A149-958EBB9339F5}"/>
    <cellStyle name="Percentagem 2" xfId="2" xr:uid="{4E28B636-3CE5-4FBB-BFA3-D874B6CA405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2:AB39"/>
  <sheetViews>
    <sheetView tabSelected="1" topLeftCell="F3" workbookViewId="0">
      <selection activeCell="I18" sqref="I18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5.75">
      <c r="B2" s="34"/>
      <c r="C2" s="34"/>
      <c r="D2" s="34"/>
      <c r="E2" s="34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4"/>
      <c r="C3" s="66" t="s">
        <v>0</v>
      </c>
      <c r="D3" s="67">
        <f>J31</f>
        <v>992.25</v>
      </c>
      <c r="E3" s="64"/>
      <c r="F3" s="14"/>
      <c r="G3" s="155" t="s">
        <v>1</v>
      </c>
      <c r="H3" s="156"/>
      <c r="I3" s="156"/>
      <c r="J3" s="152" t="s">
        <v>2</v>
      </c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4"/>
      <c r="Y3" s="15"/>
      <c r="Z3" s="13"/>
      <c r="AA3" s="26"/>
      <c r="AB3" s="26"/>
    </row>
    <row r="4" spans="2:28" ht="21">
      <c r="B4" s="34"/>
      <c r="C4" s="68" t="s">
        <v>3</v>
      </c>
      <c r="D4" s="69">
        <f>Q31</f>
        <v>705.64</v>
      </c>
      <c r="E4" s="64"/>
      <c r="F4" s="14"/>
      <c r="G4" s="157"/>
      <c r="H4" s="158"/>
      <c r="I4" s="159"/>
      <c r="J4" s="118" t="s">
        <v>4</v>
      </c>
      <c r="K4" s="119"/>
      <c r="L4" s="119"/>
      <c r="M4" s="119"/>
      <c r="N4" s="119"/>
      <c r="O4" s="119"/>
      <c r="P4" s="120"/>
      <c r="Q4" s="121" t="s">
        <v>5</v>
      </c>
      <c r="R4" s="122"/>
      <c r="S4" s="122"/>
      <c r="T4" s="122"/>
      <c r="U4" s="122"/>
      <c r="V4" s="122"/>
      <c r="W4" s="122"/>
      <c r="X4" s="123"/>
      <c r="Y4" s="15"/>
      <c r="Z4" s="13"/>
      <c r="AA4" s="26"/>
      <c r="AB4" s="26"/>
    </row>
    <row r="5" spans="2:28" ht="15.75">
      <c r="B5" s="34"/>
      <c r="C5" s="70" t="s">
        <v>6</v>
      </c>
      <c r="D5" s="71">
        <f>D4+D3</f>
        <v>1697.8899999999999</v>
      </c>
      <c r="E5" s="112"/>
      <c r="F5" s="16"/>
      <c r="G5" s="29" t="s">
        <v>7</v>
      </c>
      <c r="H5" s="30" t="s">
        <v>8</v>
      </c>
      <c r="I5" s="30" t="s">
        <v>9</v>
      </c>
      <c r="J5" s="145" t="s">
        <v>10</v>
      </c>
      <c r="K5" s="146"/>
      <c r="L5" s="146"/>
      <c r="M5" s="145" t="s">
        <v>11</v>
      </c>
      <c r="N5" s="146"/>
      <c r="O5" s="145" t="s">
        <v>12</v>
      </c>
      <c r="P5" s="146"/>
      <c r="Q5" s="147" t="s">
        <v>13</v>
      </c>
      <c r="R5" s="148"/>
      <c r="S5" s="147" t="s">
        <v>14</v>
      </c>
      <c r="T5" s="148"/>
      <c r="U5" s="141" t="s">
        <v>15</v>
      </c>
      <c r="V5" s="142"/>
      <c r="W5" s="147" t="s">
        <v>16</v>
      </c>
      <c r="X5" s="160"/>
      <c r="Y5" s="28"/>
      <c r="Z5" s="28"/>
      <c r="AA5" s="24"/>
      <c r="AB5" s="25"/>
    </row>
    <row r="6" spans="2:28" ht="15.75">
      <c r="B6" s="34"/>
      <c r="C6" s="72" t="s">
        <v>17</v>
      </c>
      <c r="D6" s="63">
        <f>I30</f>
        <v>624.5300000000002</v>
      </c>
      <c r="E6" s="32"/>
      <c r="F6" s="17"/>
      <c r="G6" s="31"/>
      <c r="H6" s="32" t="s">
        <v>18</v>
      </c>
      <c r="I6" s="51">
        <v>830</v>
      </c>
      <c r="J6" s="41" t="s">
        <v>7</v>
      </c>
      <c r="K6" s="33" t="s">
        <v>19</v>
      </c>
      <c r="L6" s="54" t="s">
        <v>9</v>
      </c>
      <c r="M6" s="46" t="s">
        <v>19</v>
      </c>
      <c r="N6" s="54" t="s">
        <v>9</v>
      </c>
      <c r="O6" s="46" t="s">
        <v>19</v>
      </c>
      <c r="P6" s="54" t="s">
        <v>9</v>
      </c>
      <c r="Q6" s="46" t="s">
        <v>19</v>
      </c>
      <c r="R6" s="54" t="s">
        <v>9</v>
      </c>
      <c r="S6" s="46" t="s">
        <v>19</v>
      </c>
      <c r="T6" s="27" t="s">
        <v>9</v>
      </c>
      <c r="U6" s="46" t="s">
        <v>19</v>
      </c>
      <c r="V6" s="27" t="s">
        <v>9</v>
      </c>
      <c r="W6" s="46" t="s">
        <v>19</v>
      </c>
      <c r="X6" s="110" t="s">
        <v>9</v>
      </c>
      <c r="Y6" s="18"/>
      <c r="Z6" s="13"/>
      <c r="AA6" s="24"/>
      <c r="AB6" s="25"/>
    </row>
    <row r="7" spans="2:28" ht="15.75">
      <c r="B7" s="34"/>
      <c r="C7" s="34"/>
      <c r="D7" s="37"/>
      <c r="E7" s="32"/>
      <c r="F7" s="17"/>
      <c r="G7" s="140" t="s">
        <v>20</v>
      </c>
      <c r="H7" s="32" t="s">
        <v>21</v>
      </c>
      <c r="I7" s="52">
        <v>656.86</v>
      </c>
      <c r="J7" s="42"/>
      <c r="K7" s="34" t="s">
        <v>22</v>
      </c>
      <c r="L7" s="55">
        <v>500</v>
      </c>
      <c r="M7" s="47" t="s">
        <v>23</v>
      </c>
      <c r="N7" s="55"/>
      <c r="O7" s="48"/>
      <c r="P7" s="55">
        <v>33.96</v>
      </c>
      <c r="Q7" s="31"/>
      <c r="R7" s="55">
        <v>5.5</v>
      </c>
      <c r="S7" s="143" t="s">
        <v>24</v>
      </c>
      <c r="T7" s="144"/>
      <c r="U7" s="77" t="s">
        <v>25</v>
      </c>
      <c r="V7" s="98"/>
      <c r="W7" s="39" t="s">
        <v>26</v>
      </c>
      <c r="X7" s="57">
        <v>42</v>
      </c>
      <c r="Y7" s="17"/>
      <c r="Z7" s="13"/>
      <c r="AA7" s="24"/>
      <c r="AB7" s="25"/>
    </row>
    <row r="8" spans="2:28" ht="15.75">
      <c r="B8" s="34"/>
      <c r="C8" s="34"/>
      <c r="D8" s="32"/>
      <c r="E8" s="32"/>
      <c r="F8" s="17"/>
      <c r="G8" s="140"/>
      <c r="H8" s="32"/>
      <c r="I8" s="51"/>
      <c r="J8" s="42"/>
      <c r="K8" s="34" t="s">
        <v>27</v>
      </c>
      <c r="L8" s="55">
        <v>101</v>
      </c>
      <c r="M8" s="47"/>
      <c r="N8" s="55"/>
      <c r="O8" s="39"/>
      <c r="P8" s="55">
        <v>51.71</v>
      </c>
      <c r="Q8" s="31"/>
      <c r="R8" s="55">
        <v>4</v>
      </c>
      <c r="S8" s="39" t="s">
        <v>28</v>
      </c>
      <c r="T8" s="55">
        <v>9.99</v>
      </c>
      <c r="U8" s="47" t="s">
        <v>29</v>
      </c>
      <c r="V8" s="55"/>
      <c r="W8" s="39"/>
      <c r="X8" s="57"/>
      <c r="Y8" s="17"/>
      <c r="Z8" s="13"/>
      <c r="AA8" s="24"/>
      <c r="AB8" s="25"/>
    </row>
    <row r="9" spans="2:28" ht="15.75">
      <c r="B9" s="34"/>
      <c r="C9" s="138" t="s">
        <v>30</v>
      </c>
      <c r="D9" s="139"/>
      <c r="E9" s="32"/>
      <c r="F9" s="17"/>
      <c r="G9" s="117" t="s">
        <v>20</v>
      </c>
      <c r="H9" s="32" t="s">
        <v>21</v>
      </c>
      <c r="I9" s="51">
        <v>413.96</v>
      </c>
      <c r="J9" s="42" t="s">
        <v>31</v>
      </c>
      <c r="K9" s="34" t="s">
        <v>32</v>
      </c>
      <c r="L9" s="55">
        <v>40</v>
      </c>
      <c r="M9" s="47"/>
      <c r="N9" s="55"/>
      <c r="O9" s="31"/>
      <c r="P9" s="55">
        <v>7.7</v>
      </c>
      <c r="Q9" s="31" t="s">
        <v>33</v>
      </c>
      <c r="R9" s="55">
        <v>25</v>
      </c>
      <c r="S9" s="39" t="s">
        <v>34</v>
      </c>
      <c r="T9" s="55">
        <v>5.39</v>
      </c>
      <c r="U9" s="47"/>
      <c r="V9" s="55"/>
      <c r="W9" s="39"/>
      <c r="X9" s="57"/>
      <c r="Y9" s="17"/>
      <c r="Z9" s="13"/>
      <c r="AA9" s="24"/>
      <c r="AB9" s="25"/>
    </row>
    <row r="10" spans="2:28" ht="15.75">
      <c r="B10" s="34"/>
      <c r="C10" s="39" t="s">
        <v>35</v>
      </c>
      <c r="D10" s="23">
        <v>2000</v>
      </c>
      <c r="E10" s="32"/>
      <c r="F10" s="17"/>
      <c r="G10" s="117"/>
      <c r="H10" s="32"/>
      <c r="I10" s="51"/>
      <c r="J10" s="42"/>
      <c r="K10" s="34" t="s">
        <v>36</v>
      </c>
      <c r="L10" s="55">
        <v>6</v>
      </c>
      <c r="M10" s="47"/>
      <c r="N10" s="55"/>
      <c r="O10" s="31"/>
      <c r="P10" s="55">
        <v>10.26</v>
      </c>
      <c r="Q10" s="31"/>
      <c r="R10" s="55"/>
      <c r="S10" s="39"/>
      <c r="T10" s="55"/>
      <c r="U10" s="47"/>
      <c r="V10" s="55"/>
      <c r="W10" s="39"/>
      <c r="X10" s="57"/>
      <c r="Y10" s="17"/>
      <c r="Z10" s="13"/>
      <c r="AA10" s="24"/>
      <c r="AB10" s="25"/>
    </row>
    <row r="11" spans="2:28" ht="15.75">
      <c r="B11" s="34"/>
      <c r="C11" s="39" t="s">
        <v>37</v>
      </c>
      <c r="D11" s="23">
        <v>500</v>
      </c>
      <c r="E11" s="32"/>
      <c r="F11" s="17"/>
      <c r="G11" s="117" t="s">
        <v>20</v>
      </c>
      <c r="H11" s="32" t="s">
        <v>38</v>
      </c>
      <c r="I11" s="51">
        <v>428.92</v>
      </c>
      <c r="J11" s="42"/>
      <c r="K11" s="34"/>
      <c r="L11" s="55"/>
      <c r="M11" s="47"/>
      <c r="N11" s="55"/>
      <c r="O11" s="31"/>
      <c r="P11" s="55">
        <v>11.45</v>
      </c>
      <c r="Q11" s="31"/>
      <c r="R11" s="55"/>
      <c r="S11" s="39"/>
      <c r="T11" s="55"/>
      <c r="U11" s="47"/>
      <c r="V11" s="55"/>
      <c r="W11" s="39"/>
      <c r="X11" s="57"/>
      <c r="Y11" s="17"/>
      <c r="Z11" s="13"/>
    </row>
    <row r="12" spans="2:28" ht="15.75">
      <c r="B12" s="34"/>
      <c r="C12" s="73" t="s">
        <v>6</v>
      </c>
      <c r="D12" s="74">
        <f>SUM(D10:D11)</f>
        <v>2500</v>
      </c>
      <c r="E12" s="112"/>
      <c r="F12" s="16"/>
      <c r="G12" s="117"/>
      <c r="H12" s="32"/>
      <c r="I12" s="51"/>
      <c r="J12" s="42"/>
      <c r="K12" s="34"/>
      <c r="L12" s="55"/>
      <c r="M12" s="47"/>
      <c r="N12" s="55"/>
      <c r="O12" s="31"/>
      <c r="P12" s="55">
        <v>6.5</v>
      </c>
      <c r="Q12" s="31"/>
      <c r="R12" s="55"/>
      <c r="S12" s="39"/>
      <c r="T12" s="55"/>
      <c r="U12" s="47"/>
      <c r="V12" s="55"/>
      <c r="W12" s="39"/>
      <c r="X12" s="57"/>
      <c r="Y12" s="17"/>
      <c r="Z12" s="13"/>
      <c r="AA12" s="13"/>
      <c r="AB12" s="13"/>
    </row>
    <row r="13" spans="2:28" ht="15.75">
      <c r="B13" s="34"/>
      <c r="C13" s="34"/>
      <c r="D13" s="34"/>
      <c r="E13" s="37"/>
      <c r="F13" s="19"/>
      <c r="G13" s="124" t="s">
        <v>20</v>
      </c>
      <c r="H13" s="32" t="s">
        <v>21</v>
      </c>
      <c r="I13" s="51">
        <v>492.68</v>
      </c>
      <c r="J13" s="43"/>
      <c r="K13" s="35" t="s">
        <v>39</v>
      </c>
      <c r="L13" s="55"/>
      <c r="M13" s="47"/>
      <c r="N13" s="55"/>
      <c r="O13" s="31"/>
      <c r="P13" s="55">
        <v>40.340000000000003</v>
      </c>
      <c r="Q13" s="31"/>
      <c r="R13" s="55"/>
      <c r="S13" s="49"/>
      <c r="T13" s="56"/>
      <c r="U13" s="49"/>
      <c r="V13" s="56"/>
      <c r="W13" s="49"/>
      <c r="X13" s="58"/>
      <c r="Y13" s="17"/>
      <c r="Z13" s="13"/>
      <c r="AA13" s="13"/>
      <c r="AB13" s="13"/>
    </row>
    <row r="14" spans="2:28" ht="15.75">
      <c r="B14" s="34"/>
      <c r="C14" s="40"/>
      <c r="D14" s="40"/>
      <c r="E14" s="65"/>
      <c r="F14" s="19"/>
      <c r="G14" s="124"/>
      <c r="H14" s="32" t="s">
        <v>40</v>
      </c>
      <c r="I14" s="51"/>
      <c r="J14" s="43"/>
      <c r="K14" s="34" t="s">
        <v>41</v>
      </c>
      <c r="L14" s="55">
        <v>33</v>
      </c>
      <c r="M14" s="47"/>
      <c r="N14" s="55"/>
      <c r="O14" s="31"/>
      <c r="P14" s="55">
        <v>46.51</v>
      </c>
      <c r="Q14" s="31"/>
      <c r="R14" s="55"/>
      <c r="S14" s="39"/>
      <c r="T14" s="55"/>
      <c r="U14" s="47"/>
      <c r="V14" s="55"/>
      <c r="W14" s="39"/>
      <c r="X14" s="57"/>
      <c r="Y14" s="17"/>
      <c r="Z14" s="13"/>
      <c r="AA14" s="13"/>
      <c r="AB14" s="13"/>
    </row>
    <row r="15" spans="2:28" ht="15.75">
      <c r="B15" s="34"/>
      <c r="C15" s="34"/>
      <c r="D15" s="34"/>
      <c r="E15" s="37"/>
      <c r="F15" s="19"/>
      <c r="G15" s="36"/>
      <c r="H15" s="32"/>
      <c r="I15" s="51"/>
      <c r="J15" s="43"/>
      <c r="K15" s="34" t="s">
        <v>42</v>
      </c>
      <c r="L15" s="55"/>
      <c r="M15" s="47"/>
      <c r="N15" s="55"/>
      <c r="O15" s="31"/>
      <c r="P15" s="55">
        <v>4.18</v>
      </c>
      <c r="Q15" s="31"/>
      <c r="R15" s="55"/>
      <c r="S15" s="135" t="s">
        <v>43</v>
      </c>
      <c r="T15" s="136"/>
      <c r="U15" s="161" t="s">
        <v>44</v>
      </c>
      <c r="V15" s="162"/>
      <c r="W15" s="39"/>
      <c r="X15" s="57"/>
      <c r="Y15" s="17"/>
      <c r="Z15" s="13"/>
      <c r="AA15" s="13"/>
      <c r="AB15" s="13"/>
    </row>
    <row r="16" spans="2:28" ht="15.75">
      <c r="B16" s="34"/>
      <c r="C16" s="34"/>
      <c r="D16" s="34"/>
      <c r="E16" s="37"/>
      <c r="F16" s="19"/>
      <c r="G16" s="36"/>
      <c r="H16" s="32"/>
      <c r="I16" s="53"/>
      <c r="J16" s="42"/>
      <c r="K16" s="34" t="s">
        <v>45</v>
      </c>
      <c r="L16" s="55">
        <v>61.8</v>
      </c>
      <c r="M16" s="47"/>
      <c r="N16" s="55"/>
      <c r="O16" s="31"/>
      <c r="P16" s="55">
        <v>6.64</v>
      </c>
      <c r="Q16" s="31"/>
      <c r="R16" s="55"/>
      <c r="S16" s="39" t="s">
        <v>46</v>
      </c>
      <c r="T16" s="55">
        <v>53</v>
      </c>
      <c r="U16" s="47"/>
      <c r="V16" s="55">
        <v>415.76</v>
      </c>
      <c r="W16" s="39"/>
      <c r="X16" s="57"/>
      <c r="Y16" s="17"/>
      <c r="Z16" s="13"/>
      <c r="AA16" s="13"/>
      <c r="AB16" s="13"/>
    </row>
    <row r="17" spans="2:28" ht="15.75">
      <c r="B17" s="13"/>
      <c r="D17" s="13"/>
      <c r="E17" s="17"/>
      <c r="F17" s="17"/>
      <c r="G17" s="111"/>
      <c r="H17" s="37"/>
      <c r="I17" s="51"/>
      <c r="J17" s="44"/>
      <c r="K17" s="34" t="s">
        <v>47</v>
      </c>
      <c r="L17" s="55">
        <v>31.2</v>
      </c>
      <c r="M17" s="47"/>
      <c r="N17" s="55"/>
      <c r="O17" s="31"/>
      <c r="P17" s="55"/>
      <c r="Q17" s="31"/>
      <c r="R17" s="55"/>
      <c r="S17" s="39"/>
      <c r="T17" s="55"/>
      <c r="U17" s="47"/>
      <c r="V17" s="55"/>
      <c r="W17" s="48"/>
      <c r="X17" s="57"/>
      <c r="Y17" s="17"/>
      <c r="Z17" s="13"/>
      <c r="AA17" s="13"/>
      <c r="AB17" s="13"/>
    </row>
    <row r="18" spans="2:28" ht="15.75">
      <c r="B18" s="13"/>
      <c r="E18" s="16"/>
      <c r="F18" s="16"/>
      <c r="G18" s="38"/>
      <c r="H18" s="37"/>
      <c r="I18" s="51"/>
      <c r="J18" s="43"/>
      <c r="K18" s="34"/>
      <c r="L18" s="55"/>
      <c r="M18" s="47"/>
      <c r="N18" s="55"/>
      <c r="O18" s="31"/>
      <c r="P18" s="55"/>
      <c r="Q18" s="31"/>
      <c r="R18" s="55"/>
      <c r="S18" s="39"/>
      <c r="T18" s="55"/>
      <c r="U18" s="47"/>
      <c r="V18" s="55"/>
      <c r="W18" s="39"/>
      <c r="X18" s="59"/>
      <c r="Y18" s="20"/>
      <c r="Z18" s="13"/>
      <c r="AA18" s="13"/>
      <c r="AB18" s="13"/>
    </row>
    <row r="19" spans="2:28" ht="15.75">
      <c r="B19" s="13"/>
      <c r="C19" s="21"/>
      <c r="E19" s="19"/>
      <c r="F19" s="19"/>
      <c r="G19" s="38"/>
      <c r="H19" s="37"/>
      <c r="I19" s="51"/>
      <c r="J19" s="43"/>
      <c r="K19" s="35"/>
      <c r="L19" s="55"/>
      <c r="M19" s="47"/>
      <c r="N19" s="55"/>
      <c r="O19" s="31"/>
      <c r="P19" s="55"/>
      <c r="Q19" s="31"/>
      <c r="R19" s="55"/>
      <c r="S19" s="103"/>
      <c r="U19" s="111"/>
      <c r="V19" s="54"/>
      <c r="W19" s="135" t="s">
        <v>48</v>
      </c>
      <c r="X19" s="136"/>
      <c r="Y19" s="17"/>
      <c r="Z19" s="13"/>
      <c r="AA19" s="13"/>
      <c r="AB19" s="13"/>
    </row>
    <row r="20" spans="2:28" ht="15.75">
      <c r="B20" s="13"/>
      <c r="C20" s="13"/>
      <c r="D20" s="13"/>
      <c r="E20" s="19"/>
      <c r="F20" s="19"/>
      <c r="G20" s="38"/>
      <c r="H20" s="37"/>
      <c r="I20" s="51"/>
      <c r="J20" s="43"/>
      <c r="K20" s="34"/>
      <c r="L20" s="55"/>
      <c r="M20" s="47"/>
      <c r="N20" s="55"/>
      <c r="O20" s="31"/>
      <c r="P20" s="55"/>
      <c r="Q20" s="31"/>
      <c r="R20" s="55"/>
      <c r="S20" s="103"/>
      <c r="U20" s="47"/>
      <c r="V20" s="55"/>
      <c r="W20" s="39"/>
      <c r="X20" s="57"/>
      <c r="Y20" s="17"/>
      <c r="Z20" s="13"/>
      <c r="AA20" s="13"/>
      <c r="AB20" s="13"/>
    </row>
    <row r="21" spans="2:28" ht="15.75">
      <c r="B21" s="13"/>
      <c r="C21" s="13"/>
      <c r="D21" s="13"/>
      <c r="E21" s="19"/>
      <c r="F21" s="19"/>
      <c r="G21" s="38"/>
      <c r="H21" s="34"/>
      <c r="I21" s="51"/>
      <c r="J21" s="43"/>
      <c r="K21" s="34"/>
      <c r="L21" s="55"/>
      <c r="M21" s="47"/>
      <c r="N21" s="55"/>
      <c r="O21" s="31"/>
      <c r="P21" s="55"/>
      <c r="Q21" s="31"/>
      <c r="R21" s="55"/>
      <c r="S21" s="103"/>
      <c r="U21" s="47"/>
      <c r="V21" s="55"/>
      <c r="W21" s="39"/>
      <c r="X21" s="57"/>
      <c r="Y21" s="17"/>
      <c r="Z21" s="13"/>
      <c r="AA21" s="13"/>
      <c r="AB21" s="13"/>
    </row>
    <row r="22" spans="2:28" ht="15.75">
      <c r="B22" s="13"/>
      <c r="C22" s="13"/>
      <c r="D22" s="13"/>
      <c r="E22" s="19"/>
      <c r="F22" s="19"/>
      <c r="G22" s="38"/>
      <c r="H22" s="34"/>
      <c r="I22" s="51"/>
      <c r="J22" s="45"/>
      <c r="K22" s="35" t="s">
        <v>49</v>
      </c>
      <c r="L22" s="55"/>
      <c r="M22" s="47"/>
      <c r="N22" s="55"/>
      <c r="O22" s="31"/>
      <c r="P22" s="55"/>
      <c r="Q22" s="31"/>
      <c r="R22" s="55"/>
      <c r="S22" s="39"/>
      <c r="T22" s="55"/>
      <c r="U22" s="47"/>
      <c r="V22" s="55"/>
      <c r="W22" s="50"/>
      <c r="X22" s="60"/>
      <c r="Y22" s="17"/>
      <c r="Z22" s="13"/>
      <c r="AA22" s="13"/>
      <c r="AB22" s="13"/>
    </row>
    <row r="23" spans="2:28" ht="15.75">
      <c r="B23" s="13"/>
      <c r="C23" s="13"/>
      <c r="E23" s="19"/>
      <c r="F23" s="19"/>
      <c r="G23" s="38"/>
      <c r="H23" s="61" t="s">
        <v>6</v>
      </c>
      <c r="I23" s="62">
        <f>SUM(I6:I22)</f>
        <v>2822.42</v>
      </c>
      <c r="J23" s="45"/>
      <c r="K23" s="34"/>
      <c r="L23" s="55"/>
      <c r="M23" s="47"/>
      <c r="N23" s="55"/>
      <c r="O23" s="31"/>
      <c r="P23" s="55"/>
      <c r="Q23" s="31"/>
      <c r="R23" s="55"/>
      <c r="S23" s="39"/>
      <c r="T23" s="55"/>
      <c r="U23" s="47"/>
      <c r="V23" s="55"/>
      <c r="W23" s="39"/>
      <c r="X23" s="57"/>
      <c r="Y23" s="17"/>
      <c r="Z23" s="13"/>
      <c r="AA23" s="13"/>
      <c r="AB23" s="13"/>
    </row>
    <row r="24" spans="2:28" ht="15.75">
      <c r="B24" s="13"/>
      <c r="C24" s="13"/>
      <c r="E24" s="13"/>
      <c r="F24" s="19"/>
      <c r="G24" s="39"/>
      <c r="H24" s="34" t="s">
        <v>30</v>
      </c>
      <c r="I24" s="51">
        <v>500</v>
      </c>
      <c r="J24" s="45"/>
      <c r="K24" s="34"/>
      <c r="L24" s="55"/>
      <c r="M24" s="47"/>
      <c r="N24" s="55"/>
      <c r="O24" s="31"/>
      <c r="P24" s="55"/>
      <c r="Q24" s="31"/>
      <c r="R24" s="55"/>
      <c r="S24" s="135" t="s">
        <v>50</v>
      </c>
      <c r="T24" s="164"/>
      <c r="U24" s="47"/>
      <c r="V24" s="55"/>
      <c r="W24" s="39"/>
      <c r="X24" s="57"/>
      <c r="Y24" s="17"/>
      <c r="Z24" s="13"/>
      <c r="AA24" s="17"/>
      <c r="AB24" s="13"/>
    </row>
    <row r="25" spans="2:28" ht="15.75">
      <c r="B25" s="13"/>
      <c r="C25" s="13"/>
      <c r="F25" s="13"/>
      <c r="G25" s="39"/>
      <c r="H25" s="34"/>
      <c r="I25" s="51"/>
      <c r="J25" s="45"/>
      <c r="K25" s="34"/>
      <c r="L25" s="55"/>
      <c r="M25" s="47"/>
      <c r="N25" s="55"/>
      <c r="O25" s="31"/>
      <c r="P25" s="55"/>
      <c r="Q25" s="31"/>
      <c r="R25" s="55"/>
      <c r="S25" s="39" t="s">
        <v>51</v>
      </c>
      <c r="T25" s="55">
        <v>67.5</v>
      </c>
      <c r="U25" s="47"/>
      <c r="V25" s="55"/>
      <c r="W25" s="39"/>
      <c r="X25" s="57"/>
      <c r="Y25" s="17"/>
      <c r="Z25" s="13"/>
      <c r="AA25" s="13"/>
      <c r="AB25" s="13"/>
    </row>
    <row r="26" spans="2:28" ht="15.75">
      <c r="B26" s="13"/>
      <c r="C26" s="13"/>
      <c r="D26" s="22"/>
      <c r="F26" s="13"/>
      <c r="G26" s="39"/>
      <c r="H26" s="34"/>
      <c r="I26" s="51"/>
      <c r="J26" s="42"/>
      <c r="K26" s="34"/>
      <c r="L26" s="55"/>
      <c r="M26" s="47"/>
      <c r="N26" s="55"/>
      <c r="O26" s="31"/>
      <c r="P26" s="55"/>
      <c r="Q26" s="31"/>
      <c r="R26" s="55"/>
      <c r="S26" s="39" t="s">
        <v>52</v>
      </c>
      <c r="T26" s="55">
        <v>32.5</v>
      </c>
      <c r="U26" s="47"/>
      <c r="V26" s="55"/>
      <c r="W26" s="39"/>
      <c r="X26" s="57"/>
      <c r="Y26" s="17"/>
      <c r="Z26" s="13"/>
      <c r="AA26" s="13"/>
      <c r="AB26" s="13"/>
    </row>
    <row r="27" spans="2:28" ht="15.75">
      <c r="B27" s="13"/>
      <c r="C27" s="13"/>
      <c r="F27" s="13"/>
      <c r="G27" s="39"/>
      <c r="H27" s="34"/>
      <c r="I27" s="51"/>
      <c r="J27" s="42"/>
      <c r="K27" s="34"/>
      <c r="L27" s="55"/>
      <c r="M27" s="47"/>
      <c r="N27" s="55"/>
      <c r="O27" s="31"/>
      <c r="P27" s="55"/>
      <c r="Q27" s="31"/>
      <c r="R27" s="55"/>
      <c r="S27" s="39" t="s">
        <v>53</v>
      </c>
      <c r="T27" s="55">
        <v>45</v>
      </c>
      <c r="U27" s="47"/>
      <c r="V27" s="55"/>
      <c r="W27" s="39"/>
      <c r="X27" s="57"/>
      <c r="Y27" s="17"/>
      <c r="Z27" s="13"/>
    </row>
    <row r="28" spans="2:28" ht="15.75">
      <c r="B28" s="13"/>
      <c r="F28" s="13"/>
      <c r="G28" s="39"/>
      <c r="H28" s="34"/>
      <c r="I28" s="51"/>
      <c r="J28" s="42"/>
      <c r="K28" s="34"/>
      <c r="L28" s="55"/>
      <c r="M28" s="47"/>
      <c r="N28" s="55"/>
      <c r="O28" s="31"/>
      <c r="P28" s="55"/>
      <c r="Q28" s="31"/>
      <c r="R28" s="55"/>
      <c r="S28" s="104"/>
      <c r="T28" s="105"/>
      <c r="U28" s="47"/>
      <c r="V28" s="55"/>
      <c r="W28" s="39"/>
      <c r="X28" s="57"/>
      <c r="Y28" s="17"/>
      <c r="Z28" s="13"/>
    </row>
    <row r="29" spans="2:28" ht="15.75">
      <c r="B29" s="13"/>
      <c r="F29" s="13"/>
      <c r="G29" s="133" t="s">
        <v>6</v>
      </c>
      <c r="H29" s="134"/>
      <c r="I29" s="76">
        <f>I23-I24-I25-I26-I27-I28</f>
        <v>2322.42</v>
      </c>
      <c r="J29" s="75"/>
      <c r="K29" s="34"/>
      <c r="L29" s="55"/>
      <c r="M29" s="47"/>
      <c r="N29" s="55"/>
      <c r="O29" s="31"/>
      <c r="P29" s="55"/>
      <c r="Q29" s="31"/>
      <c r="R29" s="55"/>
      <c r="S29" s="39"/>
      <c r="T29" s="55"/>
      <c r="U29" s="47"/>
      <c r="V29" s="55"/>
      <c r="W29" s="39"/>
      <c r="X29" s="57"/>
      <c r="Y29" s="17"/>
      <c r="Z29" s="13"/>
    </row>
    <row r="30" spans="2:28" ht="15.75">
      <c r="B30" s="13"/>
      <c r="E30" s="13"/>
      <c r="F30" s="13"/>
      <c r="G30" s="165" t="s">
        <v>17</v>
      </c>
      <c r="H30" s="165"/>
      <c r="I30" s="99">
        <f>I29-Q32</f>
        <v>624.5300000000002</v>
      </c>
      <c r="J30" s="129">
        <f>SUM(L7:L29)</f>
        <v>773</v>
      </c>
      <c r="K30" s="129"/>
      <c r="L30" s="129"/>
      <c r="M30" s="130">
        <f>SUM(N7:N29)</f>
        <v>0</v>
      </c>
      <c r="N30" s="137"/>
      <c r="O30" s="130">
        <f>SUM(P7:P29)</f>
        <v>219.25</v>
      </c>
      <c r="P30" s="129"/>
      <c r="Q30" s="131">
        <f>SUM(R7:R29)</f>
        <v>34.5</v>
      </c>
      <c r="R30" s="132"/>
      <c r="S30" s="131">
        <f>SUM(T7:T29)</f>
        <v>213.38</v>
      </c>
      <c r="T30" s="132"/>
      <c r="U30" s="131">
        <f>SUM(V7:V29)</f>
        <v>415.76</v>
      </c>
      <c r="V30" s="163"/>
      <c r="W30" s="131">
        <f>SUM(X7:X29)</f>
        <v>42</v>
      </c>
      <c r="X30" s="163"/>
      <c r="Y30" s="17"/>
      <c r="Z30" s="13"/>
    </row>
    <row r="31" spans="2:28" ht="15.75">
      <c r="B31" s="13"/>
      <c r="E31" s="13"/>
      <c r="F31" s="13"/>
      <c r="G31" s="100"/>
      <c r="H31" s="100"/>
      <c r="I31" s="101"/>
      <c r="J31" s="125">
        <f>SUM(J30:P30)</f>
        <v>992.25</v>
      </c>
      <c r="K31" s="125"/>
      <c r="L31" s="125"/>
      <c r="M31" s="125"/>
      <c r="N31" s="125"/>
      <c r="O31" s="125"/>
      <c r="P31" s="125"/>
      <c r="Q31" s="126">
        <f>SUM(Q30:X30)</f>
        <v>705.64</v>
      </c>
      <c r="R31" s="127"/>
      <c r="S31" s="127"/>
      <c r="T31" s="127"/>
      <c r="U31" s="127"/>
      <c r="V31" s="127"/>
      <c r="W31" s="127"/>
      <c r="X31" s="128"/>
      <c r="Y31" s="17"/>
      <c r="Z31" s="13"/>
    </row>
    <row r="32" spans="2:28" ht="18.75">
      <c r="B32" s="13"/>
      <c r="E32" s="13"/>
      <c r="F32" s="13"/>
      <c r="G32" s="34"/>
      <c r="H32" s="32"/>
      <c r="I32" s="102"/>
      <c r="J32" s="149" t="s">
        <v>54</v>
      </c>
      <c r="K32" s="149"/>
      <c r="L32" s="149"/>
      <c r="M32" s="149"/>
      <c r="N32" s="149"/>
      <c r="O32" s="149"/>
      <c r="P32" s="149"/>
      <c r="Q32" s="150">
        <f>J31+Q31</f>
        <v>1697.8899999999999</v>
      </c>
      <c r="R32" s="150"/>
      <c r="S32" s="150"/>
      <c r="T32" s="150"/>
      <c r="U32" s="150"/>
      <c r="V32" s="150"/>
      <c r="W32" s="150"/>
      <c r="X32" s="151"/>
      <c r="Y32" s="17"/>
      <c r="Z32" s="13"/>
    </row>
    <row r="33" spans="2:26" ht="15.75">
      <c r="B33" s="13"/>
      <c r="E33" s="13"/>
      <c r="F33" s="13"/>
      <c r="G33" s="13"/>
      <c r="H33" s="13"/>
      <c r="I33" s="13"/>
      <c r="J33" s="113" t="s">
        <v>55</v>
      </c>
      <c r="K33" s="114"/>
      <c r="L33" s="114"/>
      <c r="M33" s="114"/>
      <c r="N33" s="114"/>
      <c r="O33" s="114"/>
      <c r="P33" s="114"/>
      <c r="Q33" s="115">
        <f>1300-Q32</f>
        <v>-397.88999999999987</v>
      </c>
      <c r="R33" s="115"/>
      <c r="S33" s="115"/>
      <c r="T33" s="115"/>
      <c r="U33" s="115"/>
      <c r="V33" s="115"/>
      <c r="W33" s="115"/>
      <c r="X33" s="116"/>
      <c r="Y33" s="13"/>
      <c r="Z33" s="13"/>
    </row>
    <row r="37" spans="2:26">
      <c r="H37" s="21"/>
      <c r="L37" s="12"/>
      <c r="M37" s="12"/>
      <c r="N37" s="12"/>
    </row>
    <row r="39" spans="2:26">
      <c r="H39" s="21"/>
    </row>
  </sheetData>
  <mergeCells count="36">
    <mergeCell ref="J32:P32"/>
    <mergeCell ref="Q32:X32"/>
    <mergeCell ref="J3:X3"/>
    <mergeCell ref="G3:I4"/>
    <mergeCell ref="W5:X5"/>
    <mergeCell ref="U15:V15"/>
    <mergeCell ref="U30:V30"/>
    <mergeCell ref="S24:T24"/>
    <mergeCell ref="W30:X30"/>
    <mergeCell ref="G30:H30"/>
    <mergeCell ref="C9:D9"/>
    <mergeCell ref="G7:G8"/>
    <mergeCell ref="G9:G10"/>
    <mergeCell ref="U5:V5"/>
    <mergeCell ref="S7:T7"/>
    <mergeCell ref="M5:N5"/>
    <mergeCell ref="J5:L5"/>
    <mergeCell ref="O5:P5"/>
    <mergeCell ref="Q5:R5"/>
    <mergeCell ref="S5:T5"/>
    <mergeCell ref="J33:P33"/>
    <mergeCell ref="Q33:X33"/>
    <mergeCell ref="G11:G12"/>
    <mergeCell ref="J4:P4"/>
    <mergeCell ref="Q4:X4"/>
    <mergeCell ref="G13:G14"/>
    <mergeCell ref="J31:P31"/>
    <mergeCell ref="Q31:X31"/>
    <mergeCell ref="J30:L30"/>
    <mergeCell ref="O30:P30"/>
    <mergeCell ref="Q30:R30"/>
    <mergeCell ref="S30:T30"/>
    <mergeCell ref="G29:H29"/>
    <mergeCell ref="W19:X19"/>
    <mergeCell ref="M30:N30"/>
    <mergeCell ref="S15:T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510B-690D-474D-84C8-096B6159ABC0}">
  <sheetPr>
    <tabColor theme="5"/>
  </sheetPr>
  <dimension ref="B2:AB39"/>
  <sheetViews>
    <sheetView topLeftCell="E1" workbookViewId="0">
      <selection activeCell="H18" sqref="H18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5.75">
      <c r="B2" s="34"/>
      <c r="C2" s="34"/>
      <c r="D2" s="34"/>
      <c r="E2" s="34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4"/>
      <c r="C3" s="66" t="s">
        <v>0</v>
      </c>
      <c r="D3" s="67">
        <f>J31</f>
        <v>40</v>
      </c>
      <c r="E3" s="64"/>
      <c r="F3" s="14"/>
      <c r="G3" s="155" t="s">
        <v>1</v>
      </c>
      <c r="H3" s="156"/>
      <c r="I3" s="156"/>
      <c r="J3" s="152" t="s">
        <v>2</v>
      </c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4"/>
      <c r="Y3" s="15"/>
      <c r="Z3" s="13"/>
      <c r="AA3" s="26"/>
      <c r="AB3" s="26"/>
    </row>
    <row r="4" spans="2:28" ht="21">
      <c r="B4" s="34"/>
      <c r="C4" s="68" t="s">
        <v>3</v>
      </c>
      <c r="D4" s="69">
        <f>Q31</f>
        <v>42</v>
      </c>
      <c r="E4" s="64"/>
      <c r="F4" s="14"/>
      <c r="G4" s="157"/>
      <c r="H4" s="158"/>
      <c r="I4" s="159"/>
      <c r="J4" s="118" t="s">
        <v>4</v>
      </c>
      <c r="K4" s="119"/>
      <c r="L4" s="119"/>
      <c r="M4" s="119"/>
      <c r="N4" s="119"/>
      <c r="O4" s="119"/>
      <c r="P4" s="120"/>
      <c r="Q4" s="121" t="s">
        <v>5</v>
      </c>
      <c r="R4" s="122"/>
      <c r="S4" s="122"/>
      <c r="T4" s="122"/>
      <c r="U4" s="122"/>
      <c r="V4" s="122"/>
      <c r="W4" s="122"/>
      <c r="X4" s="123"/>
      <c r="Y4" s="15"/>
      <c r="Z4" s="13"/>
      <c r="AA4" s="26"/>
      <c r="AB4" s="26"/>
    </row>
    <row r="5" spans="2:28" ht="15.75">
      <c r="B5" s="34"/>
      <c r="C5" s="70" t="s">
        <v>6</v>
      </c>
      <c r="D5" s="71">
        <f>D4+D3</f>
        <v>82</v>
      </c>
      <c r="E5" s="112"/>
      <c r="F5" s="16"/>
      <c r="G5" s="29" t="s">
        <v>7</v>
      </c>
      <c r="H5" s="30" t="s">
        <v>8</v>
      </c>
      <c r="I5" s="30" t="s">
        <v>9</v>
      </c>
      <c r="J5" s="145" t="s">
        <v>10</v>
      </c>
      <c r="K5" s="146"/>
      <c r="L5" s="146"/>
      <c r="M5" s="145" t="s">
        <v>11</v>
      </c>
      <c r="N5" s="146"/>
      <c r="O5" s="145" t="s">
        <v>12</v>
      </c>
      <c r="P5" s="146"/>
      <c r="Q5" s="147" t="s">
        <v>13</v>
      </c>
      <c r="R5" s="148"/>
      <c r="S5" s="147" t="s">
        <v>14</v>
      </c>
      <c r="T5" s="148"/>
      <c r="U5" s="141" t="s">
        <v>15</v>
      </c>
      <c r="V5" s="142"/>
      <c r="W5" s="147" t="s">
        <v>16</v>
      </c>
      <c r="X5" s="160"/>
      <c r="Y5" s="28"/>
      <c r="Z5" s="28"/>
      <c r="AA5" s="24"/>
      <c r="AB5" s="25"/>
    </row>
    <row r="6" spans="2:28" ht="15.75">
      <c r="B6" s="34"/>
      <c r="C6" s="72" t="s">
        <v>17</v>
      </c>
      <c r="D6" s="63">
        <f>I30</f>
        <v>582.53</v>
      </c>
      <c r="E6" s="32"/>
      <c r="F6" s="17"/>
      <c r="G6" s="31"/>
      <c r="H6" s="32" t="s">
        <v>18</v>
      </c>
      <c r="I6" s="51">
        <v>624.53</v>
      </c>
      <c r="J6" s="41" t="s">
        <v>7</v>
      </c>
      <c r="K6" s="33" t="s">
        <v>19</v>
      </c>
      <c r="L6" s="54" t="s">
        <v>9</v>
      </c>
      <c r="M6" s="46" t="s">
        <v>19</v>
      </c>
      <c r="N6" s="54" t="s">
        <v>9</v>
      </c>
      <c r="O6" s="46" t="s">
        <v>19</v>
      </c>
      <c r="P6" s="54" t="s">
        <v>9</v>
      </c>
      <c r="Q6" s="46" t="s">
        <v>19</v>
      </c>
      <c r="R6" s="54" t="s">
        <v>9</v>
      </c>
      <c r="S6" s="46" t="s">
        <v>19</v>
      </c>
      <c r="T6" s="27" t="s">
        <v>9</v>
      </c>
      <c r="U6" s="46" t="s">
        <v>19</v>
      </c>
      <c r="V6" s="27" t="s">
        <v>9</v>
      </c>
      <c r="W6" s="46" t="s">
        <v>19</v>
      </c>
      <c r="X6" s="110" t="s">
        <v>9</v>
      </c>
      <c r="Y6" s="18"/>
      <c r="Z6" s="13"/>
      <c r="AA6" s="24"/>
      <c r="AB6" s="25"/>
    </row>
    <row r="7" spans="2:28" ht="15.75">
      <c r="B7" s="34"/>
      <c r="C7" s="34"/>
      <c r="D7" s="37"/>
      <c r="E7" s="32"/>
      <c r="F7" s="17"/>
      <c r="G7" s="140" t="s">
        <v>20</v>
      </c>
      <c r="H7" s="32" t="s">
        <v>21</v>
      </c>
      <c r="I7" s="52">
        <v>0</v>
      </c>
      <c r="J7" s="42"/>
      <c r="K7" s="34" t="s">
        <v>22</v>
      </c>
      <c r="L7" s="55"/>
      <c r="M7" s="47" t="s">
        <v>23</v>
      </c>
      <c r="N7" s="55"/>
      <c r="O7" s="48"/>
      <c r="P7" s="55"/>
      <c r="Q7" s="31"/>
      <c r="R7" s="55"/>
      <c r="S7" s="143" t="s">
        <v>24</v>
      </c>
      <c r="T7" s="144"/>
      <c r="U7" s="77" t="s">
        <v>25</v>
      </c>
      <c r="V7" s="98"/>
      <c r="W7" s="39" t="s">
        <v>26</v>
      </c>
      <c r="X7" s="57">
        <v>42</v>
      </c>
      <c r="Y7" s="17"/>
      <c r="Z7" s="13"/>
      <c r="AA7" s="24"/>
      <c r="AB7" s="25"/>
    </row>
    <row r="8" spans="2:28" ht="15.75">
      <c r="B8" s="34"/>
      <c r="C8" s="34"/>
      <c r="D8" s="32"/>
      <c r="E8" s="32"/>
      <c r="F8" s="17"/>
      <c r="G8" s="140"/>
      <c r="H8" s="32" t="s">
        <v>40</v>
      </c>
      <c r="I8" s="51">
        <v>40</v>
      </c>
      <c r="J8" s="42"/>
      <c r="K8" s="34" t="s">
        <v>27</v>
      </c>
      <c r="L8" s="55"/>
      <c r="M8" s="47"/>
      <c r="N8" s="55"/>
      <c r="O8" s="39"/>
      <c r="P8" s="55"/>
      <c r="Q8" s="31"/>
      <c r="R8" s="55"/>
      <c r="S8" s="39"/>
      <c r="T8" s="55"/>
      <c r="U8" s="47" t="s">
        <v>29</v>
      </c>
      <c r="V8" s="55"/>
      <c r="W8" s="39"/>
      <c r="X8" s="57"/>
      <c r="Y8" s="17"/>
      <c r="Z8" s="13"/>
      <c r="AA8" s="24"/>
      <c r="AB8" s="25"/>
    </row>
    <row r="9" spans="2:28" ht="15.75">
      <c r="B9" s="34"/>
      <c r="C9" s="138" t="s">
        <v>30</v>
      </c>
      <c r="D9" s="139"/>
      <c r="E9" s="32"/>
      <c r="F9" s="17"/>
      <c r="G9" s="117" t="s">
        <v>20</v>
      </c>
      <c r="H9" s="32" t="s">
        <v>21</v>
      </c>
      <c r="I9" s="51">
        <v>0</v>
      </c>
      <c r="J9" s="42" t="s">
        <v>56</v>
      </c>
      <c r="K9" s="34" t="s">
        <v>32</v>
      </c>
      <c r="L9" s="55">
        <v>40</v>
      </c>
      <c r="M9" s="47"/>
      <c r="N9" s="55"/>
      <c r="O9" s="31"/>
      <c r="P9" s="55"/>
      <c r="Q9" s="31"/>
      <c r="R9" s="55"/>
      <c r="S9" s="39"/>
      <c r="T9" s="55"/>
      <c r="U9" s="47"/>
      <c r="V9" s="55"/>
      <c r="W9" s="39"/>
      <c r="X9" s="57"/>
      <c r="Y9" s="17"/>
      <c r="Z9" s="13"/>
      <c r="AA9" s="24"/>
      <c r="AB9" s="25"/>
    </row>
    <row r="10" spans="2:28" ht="15.75">
      <c r="B10" s="34"/>
      <c r="C10" s="39" t="s">
        <v>35</v>
      </c>
      <c r="D10" s="23">
        <v>2500</v>
      </c>
      <c r="E10" s="32"/>
      <c r="F10" s="17"/>
      <c r="G10" s="117"/>
      <c r="H10" s="32"/>
      <c r="I10" s="51"/>
      <c r="J10" s="42"/>
      <c r="K10" s="34" t="s">
        <v>36</v>
      </c>
      <c r="L10" s="55"/>
      <c r="M10" s="47"/>
      <c r="N10" s="55"/>
      <c r="O10" s="31"/>
      <c r="P10" s="55"/>
      <c r="Q10" s="31"/>
      <c r="R10" s="55"/>
      <c r="S10" s="39"/>
      <c r="T10" s="55"/>
      <c r="U10" s="47"/>
      <c r="V10" s="55"/>
      <c r="W10" s="39"/>
      <c r="X10" s="57"/>
      <c r="Y10" s="17"/>
      <c r="Z10" s="13"/>
      <c r="AA10" s="24"/>
      <c r="AB10" s="25"/>
    </row>
    <row r="11" spans="2:28" ht="15.75">
      <c r="B11" s="34"/>
      <c r="C11" s="39" t="s">
        <v>37</v>
      </c>
      <c r="D11" s="23"/>
      <c r="E11" s="32"/>
      <c r="F11" s="17"/>
      <c r="G11" s="117" t="s">
        <v>20</v>
      </c>
      <c r="H11" s="32" t="s">
        <v>38</v>
      </c>
      <c r="I11" s="51"/>
      <c r="J11" s="42"/>
      <c r="K11" s="34"/>
      <c r="L11" s="55"/>
      <c r="M11" s="47"/>
      <c r="N11" s="55"/>
      <c r="O11" s="31"/>
      <c r="P11" s="55"/>
      <c r="Q11" s="31"/>
      <c r="R11" s="55"/>
      <c r="S11" s="39"/>
      <c r="T11" s="55"/>
      <c r="U11" s="47"/>
      <c r="V11" s="55"/>
      <c r="W11" s="39"/>
      <c r="X11" s="57"/>
      <c r="Y11" s="17"/>
      <c r="Z11" s="13"/>
    </row>
    <row r="12" spans="2:28" ht="15.75">
      <c r="B12" s="34"/>
      <c r="C12" s="73" t="s">
        <v>6</v>
      </c>
      <c r="D12" s="74">
        <f>SUM(D10:D11)</f>
        <v>2500</v>
      </c>
      <c r="E12" s="112"/>
      <c r="F12" s="16"/>
      <c r="G12" s="117"/>
      <c r="H12" s="32"/>
      <c r="I12" s="51"/>
      <c r="J12" s="42"/>
      <c r="K12" s="34"/>
      <c r="L12" s="55"/>
      <c r="M12" s="47"/>
      <c r="N12" s="55"/>
      <c r="O12" s="31"/>
      <c r="P12" s="55"/>
      <c r="Q12" s="31"/>
      <c r="R12" s="55"/>
      <c r="S12" s="39"/>
      <c r="T12" s="55"/>
      <c r="U12" s="47"/>
      <c r="V12" s="55"/>
      <c r="W12" s="39"/>
      <c r="X12" s="57"/>
      <c r="Y12" s="17"/>
      <c r="Z12" s="13"/>
      <c r="AA12" s="13"/>
      <c r="AB12" s="13"/>
    </row>
    <row r="13" spans="2:28" ht="15.75">
      <c r="B13" s="34"/>
      <c r="C13" s="34"/>
      <c r="D13" s="34"/>
      <c r="E13" s="37"/>
      <c r="F13" s="19"/>
      <c r="G13" s="124" t="s">
        <v>20</v>
      </c>
      <c r="H13" s="32" t="s">
        <v>21</v>
      </c>
      <c r="I13" s="51"/>
      <c r="J13" s="43"/>
      <c r="K13" s="35" t="s">
        <v>39</v>
      </c>
      <c r="L13" s="55"/>
      <c r="M13" s="47"/>
      <c r="N13" s="55"/>
      <c r="O13" s="31"/>
      <c r="P13" s="55"/>
      <c r="Q13" s="31"/>
      <c r="R13" s="55"/>
      <c r="S13" s="49"/>
      <c r="T13" s="56"/>
      <c r="U13" s="49"/>
      <c r="V13" s="56"/>
      <c r="W13" s="49"/>
      <c r="X13" s="58"/>
      <c r="Y13" s="17"/>
      <c r="Z13" s="13"/>
      <c r="AA13" s="13"/>
      <c r="AB13" s="13"/>
    </row>
    <row r="14" spans="2:28" ht="15.75">
      <c r="B14" s="34"/>
      <c r="C14" s="40"/>
      <c r="D14" s="40"/>
      <c r="E14" s="65"/>
      <c r="F14" s="19"/>
      <c r="G14" s="124"/>
      <c r="H14" s="32" t="s">
        <v>40</v>
      </c>
      <c r="I14" s="51"/>
      <c r="J14" s="43"/>
      <c r="K14" s="34" t="s">
        <v>41</v>
      </c>
      <c r="L14" s="55"/>
      <c r="M14" s="47"/>
      <c r="N14" s="55"/>
      <c r="O14" s="31"/>
      <c r="P14" s="55"/>
      <c r="Q14" s="31"/>
      <c r="R14" s="55"/>
      <c r="S14" s="39"/>
      <c r="T14" s="55"/>
      <c r="U14" s="47"/>
      <c r="V14" s="55"/>
      <c r="W14" s="39"/>
      <c r="X14" s="57"/>
      <c r="Y14" s="17"/>
      <c r="Z14" s="13"/>
      <c r="AA14" s="13"/>
      <c r="AB14" s="13"/>
    </row>
    <row r="15" spans="2:28" ht="15.75">
      <c r="B15" s="34"/>
      <c r="C15" s="34"/>
      <c r="D15" s="34"/>
      <c r="E15" s="37"/>
      <c r="F15" s="19"/>
      <c r="G15" s="36"/>
      <c r="H15" s="32"/>
      <c r="I15" s="51"/>
      <c r="J15" s="43"/>
      <c r="K15" s="34" t="s">
        <v>42</v>
      </c>
      <c r="L15" s="55"/>
      <c r="M15" s="47"/>
      <c r="N15" s="55"/>
      <c r="O15" s="31"/>
      <c r="P15" s="55"/>
      <c r="Q15" s="31"/>
      <c r="R15" s="55"/>
      <c r="S15" s="135" t="s">
        <v>43</v>
      </c>
      <c r="T15" s="136"/>
      <c r="U15" s="161" t="s">
        <v>44</v>
      </c>
      <c r="V15" s="162"/>
      <c r="W15" s="39"/>
      <c r="X15" s="57"/>
      <c r="Y15" s="17"/>
      <c r="Z15" s="13"/>
      <c r="AA15" s="13"/>
      <c r="AB15" s="13"/>
    </row>
    <row r="16" spans="2:28" ht="15.75">
      <c r="B16" s="34"/>
      <c r="C16" s="34"/>
      <c r="D16" s="34"/>
      <c r="E16" s="37"/>
      <c r="F16" s="19"/>
      <c r="G16" s="36"/>
      <c r="H16" s="32"/>
      <c r="I16" s="53"/>
      <c r="J16" s="42"/>
      <c r="K16" s="34" t="s">
        <v>45</v>
      </c>
      <c r="L16" s="55"/>
      <c r="M16" s="47"/>
      <c r="N16" s="55"/>
      <c r="O16" s="31"/>
      <c r="P16" s="55"/>
      <c r="Q16" s="31"/>
      <c r="R16" s="55"/>
      <c r="S16" s="39"/>
      <c r="T16" s="55"/>
      <c r="U16" s="47"/>
      <c r="V16" s="55"/>
      <c r="W16" s="39"/>
      <c r="X16" s="57"/>
      <c r="Y16" s="17"/>
      <c r="Z16" s="13"/>
      <c r="AA16" s="13"/>
      <c r="AB16" s="13"/>
    </row>
    <row r="17" spans="2:28" ht="15.75">
      <c r="B17" s="13"/>
      <c r="D17" s="13"/>
      <c r="E17" s="17"/>
      <c r="F17" s="17"/>
      <c r="G17" s="111"/>
      <c r="H17" s="37"/>
      <c r="I17" s="51"/>
      <c r="J17" s="44"/>
      <c r="K17" s="34"/>
      <c r="L17" s="55"/>
      <c r="M17" s="47"/>
      <c r="N17" s="55"/>
      <c r="O17" s="31"/>
      <c r="P17" s="55"/>
      <c r="Q17" s="31"/>
      <c r="R17" s="55"/>
      <c r="S17" s="39"/>
      <c r="T17" s="55"/>
      <c r="U17" s="47"/>
      <c r="V17" s="55"/>
      <c r="W17" s="48"/>
      <c r="X17" s="57"/>
      <c r="Y17" s="17"/>
      <c r="Z17" s="13"/>
      <c r="AA17" s="13"/>
      <c r="AB17" s="13"/>
    </row>
    <row r="18" spans="2:28" ht="15.75">
      <c r="B18" s="13"/>
      <c r="E18" s="16"/>
      <c r="F18" s="16"/>
      <c r="G18" s="38"/>
      <c r="H18" s="37"/>
      <c r="I18" s="51"/>
      <c r="J18" s="43"/>
      <c r="K18" s="34"/>
      <c r="L18" s="55"/>
      <c r="M18" s="47"/>
      <c r="N18" s="55"/>
      <c r="O18" s="31"/>
      <c r="P18" s="55"/>
      <c r="Q18" s="31"/>
      <c r="R18" s="55"/>
      <c r="S18" s="39"/>
      <c r="T18" s="55"/>
      <c r="U18" s="47"/>
      <c r="V18" s="55"/>
      <c r="W18" s="39"/>
      <c r="X18" s="59"/>
      <c r="Y18" s="20"/>
      <c r="Z18" s="13"/>
      <c r="AA18" s="13"/>
      <c r="AB18" s="13"/>
    </row>
    <row r="19" spans="2:28" ht="15.75">
      <c r="B19" s="13"/>
      <c r="C19" s="21"/>
      <c r="E19" s="19"/>
      <c r="F19" s="19"/>
      <c r="G19" s="38"/>
      <c r="H19" s="37"/>
      <c r="I19" s="51"/>
      <c r="J19" s="43"/>
      <c r="K19" s="35"/>
      <c r="L19" s="55"/>
      <c r="M19" s="47"/>
      <c r="N19" s="55"/>
      <c r="O19" s="31"/>
      <c r="P19" s="55"/>
      <c r="Q19" s="31"/>
      <c r="R19" s="55"/>
      <c r="S19" s="103"/>
      <c r="U19" s="111"/>
      <c r="V19" s="54"/>
      <c r="W19" s="135" t="s">
        <v>48</v>
      </c>
      <c r="X19" s="136"/>
      <c r="Y19" s="17"/>
      <c r="Z19" s="13"/>
      <c r="AA19" s="13"/>
      <c r="AB19" s="13"/>
    </row>
    <row r="20" spans="2:28" ht="15.75">
      <c r="B20" s="13"/>
      <c r="C20" s="13"/>
      <c r="D20" s="13"/>
      <c r="E20" s="19"/>
      <c r="F20" s="19"/>
      <c r="G20" s="38"/>
      <c r="H20" s="37"/>
      <c r="I20" s="51"/>
      <c r="J20" s="43"/>
      <c r="K20" s="34"/>
      <c r="L20" s="55"/>
      <c r="M20" s="47"/>
      <c r="N20" s="55"/>
      <c r="O20" s="31"/>
      <c r="P20" s="55"/>
      <c r="Q20" s="31"/>
      <c r="R20" s="55"/>
      <c r="S20" s="103"/>
      <c r="U20" s="47"/>
      <c r="V20" s="55"/>
      <c r="W20" s="39"/>
      <c r="X20" s="57"/>
      <c r="Y20" s="17"/>
      <c r="Z20" s="13"/>
      <c r="AA20" s="13"/>
      <c r="AB20" s="13"/>
    </row>
    <row r="21" spans="2:28" ht="15.75">
      <c r="B21" s="13"/>
      <c r="C21" s="13"/>
      <c r="D21" s="13"/>
      <c r="E21" s="19"/>
      <c r="F21" s="19"/>
      <c r="G21" s="38"/>
      <c r="H21" s="34"/>
      <c r="I21" s="51"/>
      <c r="J21" s="43"/>
      <c r="K21" s="34"/>
      <c r="L21" s="55"/>
      <c r="M21" s="47"/>
      <c r="N21" s="55"/>
      <c r="O21" s="31"/>
      <c r="P21" s="55"/>
      <c r="Q21" s="31"/>
      <c r="R21" s="55"/>
      <c r="S21" s="103"/>
      <c r="U21" s="47"/>
      <c r="V21" s="55"/>
      <c r="W21" s="39"/>
      <c r="X21" s="57"/>
      <c r="Y21" s="17"/>
      <c r="Z21" s="13"/>
      <c r="AA21" s="13"/>
      <c r="AB21" s="13"/>
    </row>
    <row r="22" spans="2:28" ht="15.75">
      <c r="B22" s="13"/>
      <c r="C22" s="13"/>
      <c r="D22" s="13"/>
      <c r="E22" s="19"/>
      <c r="F22" s="19"/>
      <c r="G22" s="38"/>
      <c r="H22" s="34"/>
      <c r="I22" s="51"/>
      <c r="J22" s="45"/>
      <c r="K22" s="35" t="s">
        <v>49</v>
      </c>
      <c r="L22" s="55"/>
      <c r="M22" s="47"/>
      <c r="N22" s="55"/>
      <c r="O22" s="31"/>
      <c r="P22" s="55"/>
      <c r="Q22" s="31"/>
      <c r="R22" s="55"/>
      <c r="S22" s="39"/>
      <c r="T22" s="55"/>
      <c r="U22" s="47"/>
      <c r="V22" s="55"/>
      <c r="W22" s="50"/>
      <c r="X22" s="60"/>
      <c r="Y22" s="17"/>
      <c r="Z22" s="13"/>
      <c r="AA22" s="13"/>
      <c r="AB22" s="13"/>
    </row>
    <row r="23" spans="2:28" ht="15.75">
      <c r="B23" s="13"/>
      <c r="C23" s="13"/>
      <c r="E23" s="19"/>
      <c r="F23" s="19"/>
      <c r="G23" s="38"/>
      <c r="H23" s="61" t="s">
        <v>6</v>
      </c>
      <c r="I23" s="62">
        <f>SUM(I6:I22)</f>
        <v>664.53</v>
      </c>
      <c r="J23" s="45"/>
      <c r="K23" s="34"/>
      <c r="L23" s="55"/>
      <c r="M23" s="47"/>
      <c r="N23" s="55"/>
      <c r="O23" s="31"/>
      <c r="P23" s="55"/>
      <c r="Q23" s="31"/>
      <c r="R23" s="55"/>
      <c r="S23" s="39"/>
      <c r="T23" s="55"/>
      <c r="U23" s="47"/>
      <c r="V23" s="55"/>
      <c r="W23" s="39"/>
      <c r="X23" s="57"/>
      <c r="Y23" s="17"/>
      <c r="Z23" s="13"/>
      <c r="AA23" s="13"/>
      <c r="AB23" s="13"/>
    </row>
    <row r="24" spans="2:28" ht="15.75">
      <c r="B24" s="13"/>
      <c r="C24" s="13"/>
      <c r="E24" s="13"/>
      <c r="F24" s="19"/>
      <c r="G24" s="39"/>
      <c r="H24" s="34" t="s">
        <v>30</v>
      </c>
      <c r="I24" s="51">
        <v>0</v>
      </c>
      <c r="J24" s="45"/>
      <c r="K24" s="34"/>
      <c r="L24" s="55"/>
      <c r="M24" s="47"/>
      <c r="N24" s="55"/>
      <c r="O24" s="31"/>
      <c r="P24" s="55"/>
      <c r="Q24" s="31"/>
      <c r="R24" s="55"/>
      <c r="S24" s="135" t="s">
        <v>50</v>
      </c>
      <c r="T24" s="164"/>
      <c r="U24" s="47"/>
      <c r="V24" s="55"/>
      <c r="W24" s="39"/>
      <c r="X24" s="57"/>
      <c r="Y24" s="17"/>
      <c r="Z24" s="13"/>
      <c r="AA24" s="17"/>
      <c r="AB24" s="13"/>
    </row>
    <row r="25" spans="2:28" ht="15.75">
      <c r="B25" s="13"/>
      <c r="C25" s="13"/>
      <c r="F25" s="13"/>
      <c r="G25" s="39"/>
      <c r="H25" s="34"/>
      <c r="I25" s="51"/>
      <c r="J25" s="45"/>
      <c r="K25" s="34"/>
      <c r="L25" s="55"/>
      <c r="M25" s="47"/>
      <c r="N25" s="55"/>
      <c r="O25" s="31"/>
      <c r="P25" s="55"/>
      <c r="Q25" s="31"/>
      <c r="R25" s="55"/>
      <c r="S25" s="39"/>
      <c r="T25" s="55"/>
      <c r="U25" s="47"/>
      <c r="V25" s="55"/>
      <c r="W25" s="39"/>
      <c r="X25" s="57"/>
      <c r="Y25" s="17"/>
      <c r="Z25" s="13"/>
      <c r="AA25" s="13"/>
      <c r="AB25" s="13"/>
    </row>
    <row r="26" spans="2:28" ht="15.75">
      <c r="B26" s="13"/>
      <c r="C26" s="13"/>
      <c r="D26" s="22"/>
      <c r="F26" s="13"/>
      <c r="G26" s="39"/>
      <c r="H26" s="34"/>
      <c r="I26" s="51"/>
      <c r="J26" s="42"/>
      <c r="K26" s="34"/>
      <c r="L26" s="55"/>
      <c r="M26" s="47"/>
      <c r="N26" s="55"/>
      <c r="O26" s="31"/>
      <c r="P26" s="55"/>
      <c r="Q26" s="31"/>
      <c r="R26" s="55"/>
      <c r="S26" s="39"/>
      <c r="T26" s="55"/>
      <c r="U26" s="47"/>
      <c r="V26" s="55"/>
      <c r="W26" s="39"/>
      <c r="X26" s="57"/>
      <c r="Y26" s="17"/>
      <c r="Z26" s="13"/>
      <c r="AA26" s="13"/>
      <c r="AB26" s="13"/>
    </row>
    <row r="27" spans="2:28" ht="15.75">
      <c r="B27" s="13"/>
      <c r="C27" s="13"/>
      <c r="F27" s="13"/>
      <c r="G27" s="39"/>
      <c r="H27" s="34"/>
      <c r="I27" s="51"/>
      <c r="J27" s="42"/>
      <c r="K27" s="34"/>
      <c r="L27" s="55"/>
      <c r="M27" s="47"/>
      <c r="N27" s="55"/>
      <c r="O27" s="31"/>
      <c r="P27" s="55"/>
      <c r="Q27" s="31"/>
      <c r="R27" s="55"/>
      <c r="S27" s="39"/>
      <c r="T27" s="55"/>
      <c r="U27" s="47"/>
      <c r="V27" s="55"/>
      <c r="W27" s="39"/>
      <c r="X27" s="57"/>
      <c r="Y27" s="17"/>
      <c r="Z27" s="13"/>
    </row>
    <row r="28" spans="2:28" ht="15.75">
      <c r="B28" s="13"/>
      <c r="F28" s="13"/>
      <c r="G28" s="39"/>
      <c r="H28" s="34"/>
      <c r="I28" s="51"/>
      <c r="J28" s="42"/>
      <c r="K28" s="34"/>
      <c r="L28" s="55"/>
      <c r="M28" s="47"/>
      <c r="N28" s="55"/>
      <c r="O28" s="31"/>
      <c r="P28" s="55"/>
      <c r="Q28" s="31"/>
      <c r="R28" s="55"/>
      <c r="S28" s="104"/>
      <c r="T28" s="105"/>
      <c r="U28" s="47"/>
      <c r="V28" s="55"/>
      <c r="W28" s="39"/>
      <c r="X28" s="57"/>
      <c r="Y28" s="17"/>
      <c r="Z28" s="13"/>
    </row>
    <row r="29" spans="2:28" ht="15.75">
      <c r="B29" s="13"/>
      <c r="F29" s="13"/>
      <c r="G29" s="133" t="s">
        <v>6</v>
      </c>
      <c r="H29" s="134"/>
      <c r="I29" s="76">
        <f>I23-I24-I25-I26-I27-I28</f>
        <v>664.53</v>
      </c>
      <c r="J29" s="75"/>
      <c r="K29" s="34"/>
      <c r="L29" s="55"/>
      <c r="M29" s="47"/>
      <c r="N29" s="55"/>
      <c r="O29" s="31"/>
      <c r="P29" s="55"/>
      <c r="Q29" s="31"/>
      <c r="R29" s="55"/>
      <c r="S29" s="39"/>
      <c r="T29" s="55"/>
      <c r="U29" s="47"/>
      <c r="V29" s="55"/>
      <c r="W29" s="39"/>
      <c r="X29" s="57"/>
      <c r="Y29" s="17"/>
      <c r="Z29" s="13"/>
    </row>
    <row r="30" spans="2:28" ht="15.75">
      <c r="B30" s="13"/>
      <c r="E30" s="13"/>
      <c r="F30" s="13"/>
      <c r="G30" s="165" t="s">
        <v>17</v>
      </c>
      <c r="H30" s="165"/>
      <c r="I30" s="99">
        <f>I29-Q32</f>
        <v>582.53</v>
      </c>
      <c r="J30" s="129">
        <f>SUM(L7:L29)</f>
        <v>40</v>
      </c>
      <c r="K30" s="129"/>
      <c r="L30" s="129"/>
      <c r="M30" s="130">
        <f>SUM(N7:N29)</f>
        <v>0</v>
      </c>
      <c r="N30" s="137"/>
      <c r="O30" s="130">
        <f>SUM(P7:P29)</f>
        <v>0</v>
      </c>
      <c r="P30" s="129"/>
      <c r="Q30" s="131">
        <f>SUM(R7:R29)</f>
        <v>0</v>
      </c>
      <c r="R30" s="132"/>
      <c r="S30" s="131">
        <f>SUM(T7:T29)</f>
        <v>0</v>
      </c>
      <c r="T30" s="132"/>
      <c r="U30" s="131">
        <f>SUM(V7:V29)</f>
        <v>0</v>
      </c>
      <c r="V30" s="163"/>
      <c r="W30" s="131">
        <f>SUM(X7:X29)</f>
        <v>42</v>
      </c>
      <c r="X30" s="163"/>
      <c r="Y30" s="17"/>
      <c r="Z30" s="13"/>
    </row>
    <row r="31" spans="2:28" ht="15.75">
      <c r="B31" s="13"/>
      <c r="E31" s="13"/>
      <c r="F31" s="13"/>
      <c r="G31" s="100"/>
      <c r="H31" s="100"/>
      <c r="I31" s="101"/>
      <c r="J31" s="125">
        <f>SUM(J30:P30)</f>
        <v>40</v>
      </c>
      <c r="K31" s="125"/>
      <c r="L31" s="125"/>
      <c r="M31" s="125"/>
      <c r="N31" s="125"/>
      <c r="O31" s="125"/>
      <c r="P31" s="125"/>
      <c r="Q31" s="126">
        <f>SUM(Q30:X30)</f>
        <v>42</v>
      </c>
      <c r="R31" s="127"/>
      <c r="S31" s="127"/>
      <c r="T31" s="127"/>
      <c r="U31" s="127"/>
      <c r="V31" s="127"/>
      <c r="W31" s="127"/>
      <c r="X31" s="128"/>
      <c r="Y31" s="17"/>
      <c r="Z31" s="13"/>
    </row>
    <row r="32" spans="2:28" ht="18.75">
      <c r="B32" s="13"/>
      <c r="E32" s="13"/>
      <c r="F32" s="13"/>
      <c r="G32" s="34"/>
      <c r="H32" s="32"/>
      <c r="I32" s="102"/>
      <c r="J32" s="149" t="s">
        <v>54</v>
      </c>
      <c r="K32" s="149"/>
      <c r="L32" s="149"/>
      <c r="M32" s="149"/>
      <c r="N32" s="149"/>
      <c r="O32" s="149"/>
      <c r="P32" s="149"/>
      <c r="Q32" s="150">
        <f>J31+Q31</f>
        <v>82</v>
      </c>
      <c r="R32" s="150"/>
      <c r="S32" s="150"/>
      <c r="T32" s="150"/>
      <c r="U32" s="150"/>
      <c r="V32" s="150"/>
      <c r="W32" s="150"/>
      <c r="X32" s="151"/>
      <c r="Y32" s="17"/>
      <c r="Z32" s="13"/>
    </row>
    <row r="33" spans="2:26" ht="15.75">
      <c r="B33" s="13"/>
      <c r="E33" s="13"/>
      <c r="F33" s="13"/>
      <c r="G33" s="13"/>
      <c r="H33" s="13"/>
      <c r="I33" s="13"/>
      <c r="J33" s="113" t="s">
        <v>55</v>
      </c>
      <c r="K33" s="114"/>
      <c r="L33" s="114"/>
      <c r="M33" s="114"/>
      <c r="N33" s="114"/>
      <c r="O33" s="114"/>
      <c r="P33" s="114"/>
      <c r="Q33" s="115">
        <f>1300-Q32</f>
        <v>1218</v>
      </c>
      <c r="R33" s="115"/>
      <c r="S33" s="115"/>
      <c r="T33" s="115"/>
      <c r="U33" s="115"/>
      <c r="V33" s="115"/>
      <c r="W33" s="115"/>
      <c r="X33" s="116"/>
      <c r="Y33" s="13"/>
      <c r="Z33" s="13"/>
    </row>
    <row r="37" spans="2:26">
      <c r="H37" s="21"/>
      <c r="L37" s="12"/>
      <c r="M37" s="12"/>
      <c r="N37" s="12"/>
    </row>
    <row r="39" spans="2:26">
      <c r="H39" s="21"/>
    </row>
  </sheetData>
  <mergeCells count="36">
    <mergeCell ref="S15:T15"/>
    <mergeCell ref="W19:X19"/>
    <mergeCell ref="S24:T24"/>
    <mergeCell ref="G29:H29"/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O30:P30"/>
    <mergeCell ref="Q30:R30"/>
    <mergeCell ref="U15:V15"/>
    <mergeCell ref="C9:D9"/>
    <mergeCell ref="G9:G10"/>
    <mergeCell ref="G30:H30"/>
    <mergeCell ref="J30:L30"/>
    <mergeCell ref="M30:N30"/>
    <mergeCell ref="G11:G12"/>
    <mergeCell ref="G13:G14"/>
    <mergeCell ref="G7:G8"/>
    <mergeCell ref="S7:T7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92A8-4889-4667-9B2F-E841BF18A260}">
  <sheetPr>
    <tabColor rgb="FFFFFF00"/>
  </sheetPr>
  <dimension ref="A1:AH21"/>
  <sheetViews>
    <sheetView workbookViewId="0">
      <pane xSplit="1" topLeftCell="B1" activePane="topRight" state="frozen"/>
      <selection pane="topRight" activeCell="B5" sqref="B5"/>
    </sheetView>
  </sheetViews>
  <sheetFormatPr defaultRowHeight="15"/>
  <cols>
    <col min="1" max="1" width="23.7109375" customWidth="1"/>
    <col min="2" max="2" width="12.42578125" customWidth="1"/>
    <col min="3" max="3" width="11.85546875" customWidth="1"/>
    <col min="4" max="4" width="13" customWidth="1"/>
  </cols>
  <sheetData>
    <row r="1" spans="1:34">
      <c r="A1" s="171"/>
      <c r="B1" s="171" t="s">
        <v>57</v>
      </c>
      <c r="C1" s="172"/>
      <c r="D1" s="171" t="s">
        <v>58</v>
      </c>
      <c r="E1" s="182"/>
      <c r="F1" s="172" t="s">
        <v>59</v>
      </c>
      <c r="G1" s="182"/>
      <c r="H1" s="172" t="s">
        <v>60</v>
      </c>
      <c r="I1" s="172"/>
      <c r="J1" s="180" t="s">
        <v>61</v>
      </c>
      <c r="K1" s="172"/>
      <c r="L1" s="180" t="s">
        <v>62</v>
      </c>
      <c r="M1" s="172"/>
      <c r="N1" s="180" t="s">
        <v>63</v>
      </c>
      <c r="O1" s="172"/>
      <c r="P1" s="180" t="s">
        <v>64</v>
      </c>
      <c r="Q1" s="172"/>
      <c r="R1" s="171" t="s">
        <v>65</v>
      </c>
      <c r="S1" s="172"/>
      <c r="T1" s="171" t="s">
        <v>66</v>
      </c>
      <c r="U1" s="172"/>
      <c r="V1" s="171" t="s">
        <v>67</v>
      </c>
      <c r="W1" s="172"/>
      <c r="X1" s="171" t="s">
        <v>68</v>
      </c>
      <c r="Y1" s="172"/>
      <c r="Z1" s="173" t="s">
        <v>69</v>
      </c>
      <c r="AA1" s="174"/>
      <c r="AB1" s="175"/>
      <c r="AD1" s="183"/>
      <c r="AE1" s="183"/>
      <c r="AG1" s="183"/>
      <c r="AH1" s="183"/>
    </row>
    <row r="2" spans="1:34" ht="27">
      <c r="A2" s="181"/>
      <c r="B2" s="1" t="s">
        <v>70</v>
      </c>
      <c r="C2" s="2" t="s">
        <v>71</v>
      </c>
      <c r="D2" s="1" t="s">
        <v>70</v>
      </c>
      <c r="E2" s="3" t="s">
        <v>71</v>
      </c>
      <c r="F2" s="4" t="s">
        <v>70</v>
      </c>
      <c r="G2" s="3" t="s">
        <v>71</v>
      </c>
      <c r="H2" s="4" t="s">
        <v>70</v>
      </c>
      <c r="I2" s="2" t="s">
        <v>71</v>
      </c>
      <c r="J2" s="1" t="s">
        <v>70</v>
      </c>
      <c r="K2" s="2" t="s">
        <v>71</v>
      </c>
      <c r="L2" s="1" t="s">
        <v>70</v>
      </c>
      <c r="M2" s="2" t="s">
        <v>71</v>
      </c>
      <c r="N2" s="1" t="s">
        <v>70</v>
      </c>
      <c r="O2" s="2" t="s">
        <v>71</v>
      </c>
      <c r="P2" s="1" t="s">
        <v>70</v>
      </c>
      <c r="Q2" s="2" t="s">
        <v>71</v>
      </c>
      <c r="R2" s="1" t="s">
        <v>70</v>
      </c>
      <c r="S2" s="2" t="s">
        <v>71</v>
      </c>
      <c r="T2" s="1" t="s">
        <v>70</v>
      </c>
      <c r="U2" s="2" t="s">
        <v>71</v>
      </c>
      <c r="V2" s="1" t="s">
        <v>70</v>
      </c>
      <c r="W2" s="2" t="s">
        <v>71</v>
      </c>
      <c r="X2" s="1" t="s">
        <v>70</v>
      </c>
      <c r="Y2" s="3" t="s">
        <v>71</v>
      </c>
      <c r="Z2" s="5" t="s">
        <v>70</v>
      </c>
      <c r="AA2" s="6" t="s">
        <v>71</v>
      </c>
      <c r="AB2" s="7" t="s">
        <v>72</v>
      </c>
    </row>
    <row r="3" spans="1:34">
      <c r="A3" s="78" t="s">
        <v>73</v>
      </c>
      <c r="B3" s="79">
        <v>500</v>
      </c>
      <c r="C3" s="80">
        <f>B3/$B$16</f>
        <v>0.77279752704791349</v>
      </c>
      <c r="D3" s="79">
        <v>0</v>
      </c>
      <c r="E3" s="81" t="e">
        <f>D3/$D$16</f>
        <v>#DIV/0!</v>
      </c>
      <c r="F3" s="82">
        <v>0</v>
      </c>
      <c r="G3" s="81" t="e">
        <f>F3/$F$16</f>
        <v>#DIV/0!</v>
      </c>
      <c r="H3" s="82">
        <v>0</v>
      </c>
      <c r="I3" s="80" t="e">
        <f>H3/$H$16</f>
        <v>#DIV/0!</v>
      </c>
      <c r="J3" s="79">
        <v>0</v>
      </c>
      <c r="K3" s="80" t="e">
        <f>J3/$J$16</f>
        <v>#DIV/0!</v>
      </c>
      <c r="L3" s="79">
        <v>0</v>
      </c>
      <c r="M3" s="80" t="e">
        <f>L3/$L$16</f>
        <v>#DIV/0!</v>
      </c>
      <c r="N3" s="79">
        <v>0</v>
      </c>
      <c r="O3" s="80" t="e">
        <f>N3/$N$16</f>
        <v>#DIV/0!</v>
      </c>
      <c r="P3" s="79">
        <v>0</v>
      </c>
      <c r="Q3" s="80" t="e">
        <f>P3/$P$16</f>
        <v>#DIV/0!</v>
      </c>
      <c r="R3" s="79">
        <v>0</v>
      </c>
      <c r="S3" s="80" t="e">
        <f>R3/$R$16</f>
        <v>#DIV/0!</v>
      </c>
      <c r="T3" s="79">
        <v>0</v>
      </c>
      <c r="U3" s="80" t="e">
        <f>T3/$T$16</f>
        <v>#DIV/0!</v>
      </c>
      <c r="V3" s="79">
        <v>0</v>
      </c>
      <c r="W3" s="80" t="e">
        <f>V3/$V$16</f>
        <v>#DIV/0!</v>
      </c>
      <c r="X3" s="79">
        <v>0</v>
      </c>
      <c r="Y3" s="81" t="e">
        <f>X3/$X$16</f>
        <v>#DIV/0!</v>
      </c>
      <c r="Z3" s="83">
        <f>SUM(X3,V3,T3,R3,P3,N3,L3,J3,H3,F3,D3,B3)</f>
        <v>500</v>
      </c>
      <c r="AA3" s="84">
        <f>Z3/$Z$16</f>
        <v>0.77279752704791349</v>
      </c>
      <c r="AB3" s="85">
        <f>AVERAGE(X3,V3,T3,R3,P3,N3,L3,J3,H3,D3,B3)</f>
        <v>45.454545454545453</v>
      </c>
    </row>
    <row r="4" spans="1:34" ht="18" customHeight="1">
      <c r="A4" s="78" t="s">
        <v>10</v>
      </c>
      <c r="B4" s="79">
        <v>147</v>
      </c>
      <c r="C4" s="80">
        <f>B4/$B$16</f>
        <v>0.22720247295208656</v>
      </c>
      <c r="D4" s="79">
        <v>0</v>
      </c>
      <c r="E4" s="81" t="e">
        <f>D4/$D$16</f>
        <v>#DIV/0!</v>
      </c>
      <c r="F4" s="82">
        <v>0</v>
      </c>
      <c r="G4" s="81" t="e">
        <f>F4/$F$16</f>
        <v>#DIV/0!</v>
      </c>
      <c r="H4" s="82">
        <v>0</v>
      </c>
      <c r="I4" s="80" t="e">
        <f>H4/$H$16</f>
        <v>#DIV/0!</v>
      </c>
      <c r="J4" s="79">
        <v>0</v>
      </c>
      <c r="K4" s="80" t="e">
        <f>J4/$J$16</f>
        <v>#DIV/0!</v>
      </c>
      <c r="L4" s="79">
        <v>0</v>
      </c>
      <c r="M4" s="80" t="e">
        <f>L4/$L$16</f>
        <v>#DIV/0!</v>
      </c>
      <c r="N4" s="79">
        <v>0</v>
      </c>
      <c r="O4" s="80" t="e">
        <f>N4/$N$16</f>
        <v>#DIV/0!</v>
      </c>
      <c r="P4" s="79">
        <v>0</v>
      </c>
      <c r="Q4" s="80" t="e">
        <f>P4/$P$16</f>
        <v>#DIV/0!</v>
      </c>
      <c r="R4" s="79">
        <v>0</v>
      </c>
      <c r="S4" s="80" t="e">
        <f>R4/$R$16</f>
        <v>#DIV/0!</v>
      </c>
      <c r="T4" s="79">
        <v>0</v>
      </c>
      <c r="U4" s="80" t="e">
        <f>T4/$T$16</f>
        <v>#DIV/0!</v>
      </c>
      <c r="V4" s="79">
        <v>0</v>
      </c>
      <c r="W4" s="80" t="e">
        <f>V4/$V$16</f>
        <v>#DIV/0!</v>
      </c>
      <c r="X4" s="79">
        <v>0</v>
      </c>
      <c r="Y4" s="81" t="e">
        <f>X4/$X$16</f>
        <v>#DIV/0!</v>
      </c>
      <c r="Z4" s="83">
        <f t="shared" ref="Z4:Z9" si="0">SUM(X4,V4,T4,R4,P4,N4,L4,J4,H4,F4,D4,B4)</f>
        <v>147</v>
      </c>
      <c r="AA4" s="84">
        <f>Z4/$Z$16</f>
        <v>0.22720247295208656</v>
      </c>
      <c r="AB4" s="85">
        <f t="shared" ref="AB4:AB19" si="1">AVERAGE(X4,V4,T4,R4,P4,N4,L4,J4,H4,D4,B4)</f>
        <v>13.363636363636363</v>
      </c>
    </row>
    <row r="5" spans="1:34" ht="18.75" customHeight="1">
      <c r="A5" s="78" t="s">
        <v>74</v>
      </c>
      <c r="B5" s="79">
        <v>0</v>
      </c>
      <c r="C5" s="80">
        <f>B5/$B$16</f>
        <v>0</v>
      </c>
      <c r="D5" s="79">
        <v>0</v>
      </c>
      <c r="E5" s="81" t="e">
        <f>D5/$D$16</f>
        <v>#DIV/0!</v>
      </c>
      <c r="F5" s="82">
        <v>0</v>
      </c>
      <c r="G5" s="81" t="e">
        <f>F5/$F$16</f>
        <v>#DIV/0!</v>
      </c>
      <c r="H5" s="82">
        <v>0</v>
      </c>
      <c r="I5" s="80" t="e">
        <f>H5/$H$16</f>
        <v>#DIV/0!</v>
      </c>
      <c r="J5" s="79">
        <v>0</v>
      </c>
      <c r="K5" s="80" t="e">
        <f>J5/$J$16</f>
        <v>#DIV/0!</v>
      </c>
      <c r="L5" s="79">
        <v>0</v>
      </c>
      <c r="M5" s="80" t="e">
        <f>L5/$L$16</f>
        <v>#DIV/0!</v>
      </c>
      <c r="N5" s="79">
        <v>0</v>
      </c>
      <c r="O5" s="80" t="e">
        <f>N5/$N$16</f>
        <v>#DIV/0!</v>
      </c>
      <c r="P5" s="79">
        <v>0</v>
      </c>
      <c r="Q5" s="80" t="e">
        <f>P5/$P$16</f>
        <v>#DIV/0!</v>
      </c>
      <c r="R5" s="79">
        <v>0</v>
      </c>
      <c r="S5" s="80" t="e">
        <f>R5/$R$16</f>
        <v>#DIV/0!</v>
      </c>
      <c r="T5" s="79">
        <v>0</v>
      </c>
      <c r="U5" s="80" t="e">
        <f>T5/$T$16</f>
        <v>#DIV/0!</v>
      </c>
      <c r="V5" s="79">
        <v>0</v>
      </c>
      <c r="W5" s="80" t="e">
        <f>V5/$V$16</f>
        <v>#DIV/0!</v>
      </c>
      <c r="X5" s="79">
        <v>0</v>
      </c>
      <c r="Y5" s="81" t="e">
        <f>X5/$X$16</f>
        <v>#DIV/0!</v>
      </c>
      <c r="Z5" s="83">
        <f t="shared" si="0"/>
        <v>0</v>
      </c>
      <c r="AA5" s="84">
        <f>Z5/$Z$16</f>
        <v>0</v>
      </c>
      <c r="AB5" s="85">
        <f t="shared" si="1"/>
        <v>0</v>
      </c>
    </row>
    <row r="6" spans="1:34">
      <c r="A6" s="78" t="s">
        <v>49</v>
      </c>
      <c r="B6" s="79">
        <v>0</v>
      </c>
      <c r="C6" s="80">
        <f>B6/$B$16</f>
        <v>0</v>
      </c>
      <c r="D6" s="79">
        <v>0</v>
      </c>
      <c r="E6" s="81" t="e">
        <f>D6/$D$16</f>
        <v>#DIV/0!</v>
      </c>
      <c r="F6" s="82">
        <v>0</v>
      </c>
      <c r="G6" s="81" t="e">
        <f>F6/$F$16</f>
        <v>#DIV/0!</v>
      </c>
      <c r="H6" s="82">
        <v>0</v>
      </c>
      <c r="I6" s="80" t="e">
        <f>H6/$H$16</f>
        <v>#DIV/0!</v>
      </c>
      <c r="J6" s="79">
        <v>0</v>
      </c>
      <c r="K6" s="80" t="e">
        <f>J6/$J$16</f>
        <v>#DIV/0!</v>
      </c>
      <c r="L6" s="79">
        <v>0</v>
      </c>
      <c r="M6" s="80" t="e">
        <f>L6/$L$16</f>
        <v>#DIV/0!</v>
      </c>
      <c r="N6" s="79">
        <v>0</v>
      </c>
      <c r="O6" s="80" t="e">
        <f>N6/$N$16</f>
        <v>#DIV/0!</v>
      </c>
      <c r="P6" s="79">
        <v>0</v>
      </c>
      <c r="Q6" s="80" t="e">
        <f>P6/$P$16</f>
        <v>#DIV/0!</v>
      </c>
      <c r="R6" s="79">
        <v>0</v>
      </c>
      <c r="S6" s="80" t="e">
        <f>R6/$R$16</f>
        <v>#DIV/0!</v>
      </c>
      <c r="T6" s="79">
        <v>0</v>
      </c>
      <c r="U6" s="80" t="e">
        <f>T6/$T$16</f>
        <v>#DIV/0!</v>
      </c>
      <c r="V6" s="79">
        <v>0</v>
      </c>
      <c r="W6" s="80" t="e">
        <f>V6/$V$16</f>
        <v>#DIV/0!</v>
      </c>
      <c r="X6" s="79">
        <v>0</v>
      </c>
      <c r="Y6" s="81" t="e">
        <f>X6/$X$16</f>
        <v>#DIV/0!</v>
      </c>
      <c r="Z6" s="83">
        <f t="shared" si="0"/>
        <v>0</v>
      </c>
      <c r="AA6" s="84">
        <f>Z6/$Z$16</f>
        <v>0</v>
      </c>
      <c r="AB6" s="85">
        <f t="shared" si="1"/>
        <v>0</v>
      </c>
    </row>
    <row r="7" spans="1:34">
      <c r="A7" s="78" t="s">
        <v>12</v>
      </c>
      <c r="B7" s="79">
        <v>0</v>
      </c>
      <c r="C7" s="80">
        <f>B7/$B$16</f>
        <v>0</v>
      </c>
      <c r="D7" s="79">
        <v>0</v>
      </c>
      <c r="E7" s="81" t="e">
        <f>D7/$D$16</f>
        <v>#DIV/0!</v>
      </c>
      <c r="F7" s="82">
        <v>0</v>
      </c>
      <c r="G7" s="81" t="e">
        <f>F7/$F$16</f>
        <v>#DIV/0!</v>
      </c>
      <c r="H7" s="82">
        <v>0</v>
      </c>
      <c r="I7" s="80" t="e">
        <f>H7/$H$16</f>
        <v>#DIV/0!</v>
      </c>
      <c r="J7" s="79">
        <v>0</v>
      </c>
      <c r="K7" s="80" t="e">
        <f>J7/$J$16</f>
        <v>#DIV/0!</v>
      </c>
      <c r="L7" s="79">
        <v>0</v>
      </c>
      <c r="M7" s="80" t="e">
        <f>L7/$L$16</f>
        <v>#DIV/0!</v>
      </c>
      <c r="N7" s="79">
        <v>0</v>
      </c>
      <c r="O7" s="80" t="e">
        <f>N7/$N$16</f>
        <v>#DIV/0!</v>
      </c>
      <c r="P7" s="79">
        <v>0</v>
      </c>
      <c r="Q7" s="80" t="e">
        <f>P7/$P$16</f>
        <v>#DIV/0!</v>
      </c>
      <c r="R7" s="79">
        <v>0</v>
      </c>
      <c r="S7" s="80" t="e">
        <f>R7/$R$16</f>
        <v>#DIV/0!</v>
      </c>
      <c r="T7" s="79">
        <v>0</v>
      </c>
      <c r="U7" s="80" t="e">
        <f>T7/$T$16</f>
        <v>#DIV/0!</v>
      </c>
      <c r="V7" s="79">
        <v>0</v>
      </c>
      <c r="W7" s="80" t="e">
        <f>V7/$V$16</f>
        <v>#DIV/0!</v>
      </c>
      <c r="X7" s="79">
        <v>0</v>
      </c>
      <c r="Y7" s="81" t="e">
        <f>X7/$X$16</f>
        <v>#DIV/0!</v>
      </c>
      <c r="Z7" s="83">
        <f t="shared" si="0"/>
        <v>0</v>
      </c>
      <c r="AA7" s="84">
        <f>Z7/$Z$16</f>
        <v>0</v>
      </c>
      <c r="AB7" s="85">
        <f t="shared" si="1"/>
        <v>0</v>
      </c>
    </row>
    <row r="8" spans="1:34">
      <c r="A8" s="86" t="s">
        <v>11</v>
      </c>
      <c r="B8" s="79">
        <v>0</v>
      </c>
      <c r="C8" s="80">
        <f>B8/$B$16</f>
        <v>0</v>
      </c>
      <c r="D8" s="79">
        <v>0</v>
      </c>
      <c r="E8" s="81" t="e">
        <f>D8/$D$16</f>
        <v>#DIV/0!</v>
      </c>
      <c r="F8" s="82">
        <v>0</v>
      </c>
      <c r="G8" s="81" t="e">
        <f>F8/$F$16</f>
        <v>#DIV/0!</v>
      </c>
      <c r="H8" s="82">
        <v>0</v>
      </c>
      <c r="I8" s="80" t="e">
        <f>H8/$H$16</f>
        <v>#DIV/0!</v>
      </c>
      <c r="J8" s="79">
        <v>0</v>
      </c>
      <c r="K8" s="80" t="e">
        <f>J8/$J$16</f>
        <v>#DIV/0!</v>
      </c>
      <c r="L8" s="79">
        <v>0</v>
      </c>
      <c r="M8" s="80" t="e">
        <f>L8/$L$16</f>
        <v>#DIV/0!</v>
      </c>
      <c r="N8" s="79">
        <v>0</v>
      </c>
      <c r="O8" s="80" t="e">
        <f>N8/$N$16</f>
        <v>#DIV/0!</v>
      </c>
      <c r="P8" s="79">
        <v>0</v>
      </c>
      <c r="Q8" s="80" t="e">
        <f>P8/$P$16</f>
        <v>#DIV/0!</v>
      </c>
      <c r="R8" s="79">
        <v>0</v>
      </c>
      <c r="S8" s="80" t="e">
        <f>R8/$R$16</f>
        <v>#DIV/0!</v>
      </c>
      <c r="T8" s="79">
        <v>0</v>
      </c>
      <c r="U8" s="87" t="e">
        <f>T8/$T$16</f>
        <v>#DIV/0!</v>
      </c>
      <c r="V8" s="79">
        <v>0</v>
      </c>
      <c r="W8" s="80" t="e">
        <f>V8/$V$16</f>
        <v>#DIV/0!</v>
      </c>
      <c r="X8" s="79">
        <v>0</v>
      </c>
      <c r="Y8" s="81" t="e">
        <f>X8/$X$16</f>
        <v>#DIV/0!</v>
      </c>
      <c r="Z8" s="83">
        <f t="shared" si="0"/>
        <v>0</v>
      </c>
      <c r="AA8" s="84">
        <f>Z8/$Z$16</f>
        <v>0</v>
      </c>
      <c r="AB8" s="85">
        <f t="shared" si="1"/>
        <v>0</v>
      </c>
    </row>
    <row r="9" spans="1:34">
      <c r="A9" s="88" t="s">
        <v>75</v>
      </c>
      <c r="B9" s="82">
        <v>0</v>
      </c>
      <c r="C9" s="80">
        <f t="shared" ref="C9:C15" si="2">B9/$B$16</f>
        <v>0</v>
      </c>
      <c r="D9" s="79">
        <v>0</v>
      </c>
      <c r="E9" s="81" t="e">
        <f t="shared" ref="E9:E15" si="3">D9/$D$16</f>
        <v>#DIV/0!</v>
      </c>
      <c r="F9" s="82">
        <v>0</v>
      </c>
      <c r="G9" s="81" t="e">
        <f t="shared" ref="G9:G15" si="4">F9/$F$16</f>
        <v>#DIV/0!</v>
      </c>
      <c r="H9" s="82">
        <v>0</v>
      </c>
      <c r="I9" s="80" t="e">
        <f t="shared" ref="I9:I15" si="5">H9/$H$16</f>
        <v>#DIV/0!</v>
      </c>
      <c r="J9" s="79">
        <v>0</v>
      </c>
      <c r="K9" s="80" t="e">
        <f t="shared" ref="K9:K15" si="6">J9/$J$16</f>
        <v>#DIV/0!</v>
      </c>
      <c r="L9" s="79">
        <v>0</v>
      </c>
      <c r="M9" s="80" t="e">
        <f t="shared" ref="M9:M15" si="7">L9/$L$16</f>
        <v>#DIV/0!</v>
      </c>
      <c r="N9" s="79">
        <v>0</v>
      </c>
      <c r="O9" s="80" t="e">
        <f t="shared" ref="O9:O15" si="8">N9/$N$16</f>
        <v>#DIV/0!</v>
      </c>
      <c r="P9" s="79">
        <v>0</v>
      </c>
      <c r="Q9" s="80" t="e">
        <f t="shared" ref="Q9:Q15" si="9">P9/$P$16</f>
        <v>#DIV/0!</v>
      </c>
      <c r="R9" s="79">
        <v>0</v>
      </c>
      <c r="S9" s="80" t="e">
        <f t="shared" ref="S9:S15" si="10">R9/$R$16</f>
        <v>#DIV/0!</v>
      </c>
      <c r="T9" s="79">
        <v>0</v>
      </c>
      <c r="U9" s="80" t="e">
        <f t="shared" ref="U9:U15" si="11">T9/$T$16</f>
        <v>#DIV/0!</v>
      </c>
      <c r="V9" s="79">
        <v>0</v>
      </c>
      <c r="W9" s="80" t="e">
        <f t="shared" ref="W9:W15" si="12">V9/$V$16</f>
        <v>#DIV/0!</v>
      </c>
      <c r="X9" s="79">
        <v>0</v>
      </c>
      <c r="Y9" s="81" t="e">
        <f t="shared" ref="Y9:Y15" si="13">X9/$X$16</f>
        <v>#DIV/0!</v>
      </c>
      <c r="Z9" s="83">
        <f t="shared" si="0"/>
        <v>0</v>
      </c>
      <c r="AA9" s="84">
        <f t="shared" ref="AA9:AA15" si="14">Z9/$Z$16</f>
        <v>0</v>
      </c>
      <c r="AB9" s="85">
        <f t="shared" si="1"/>
        <v>0</v>
      </c>
    </row>
    <row r="10" spans="1:34">
      <c r="A10" s="89" t="s">
        <v>13</v>
      </c>
      <c r="B10" s="90">
        <v>0</v>
      </c>
      <c r="C10" s="91">
        <f t="shared" si="2"/>
        <v>0</v>
      </c>
      <c r="D10" s="92">
        <v>0</v>
      </c>
      <c r="E10" s="93" t="e">
        <f t="shared" si="3"/>
        <v>#DIV/0!</v>
      </c>
      <c r="F10" s="90">
        <v>0</v>
      </c>
      <c r="G10" s="93" t="e">
        <f t="shared" si="4"/>
        <v>#DIV/0!</v>
      </c>
      <c r="H10" s="90">
        <v>0</v>
      </c>
      <c r="I10" s="91" t="e">
        <f t="shared" si="5"/>
        <v>#DIV/0!</v>
      </c>
      <c r="J10" s="92">
        <v>0</v>
      </c>
      <c r="K10" s="91" t="e">
        <f t="shared" si="6"/>
        <v>#DIV/0!</v>
      </c>
      <c r="L10" s="92">
        <v>0</v>
      </c>
      <c r="M10" s="91" t="e">
        <f t="shared" si="7"/>
        <v>#DIV/0!</v>
      </c>
      <c r="N10" s="92">
        <v>0</v>
      </c>
      <c r="O10" s="91" t="e">
        <f t="shared" si="8"/>
        <v>#DIV/0!</v>
      </c>
      <c r="P10" s="92">
        <v>0</v>
      </c>
      <c r="Q10" s="91" t="e">
        <f t="shared" si="9"/>
        <v>#DIV/0!</v>
      </c>
      <c r="R10" s="92">
        <v>0</v>
      </c>
      <c r="S10" s="91" t="e">
        <f t="shared" si="10"/>
        <v>#DIV/0!</v>
      </c>
      <c r="T10" s="92">
        <v>0</v>
      </c>
      <c r="U10" s="91" t="e">
        <f t="shared" si="11"/>
        <v>#DIV/0!</v>
      </c>
      <c r="V10" s="92">
        <v>0</v>
      </c>
      <c r="W10" s="91" t="e">
        <f t="shared" si="12"/>
        <v>#DIV/0!</v>
      </c>
      <c r="X10" s="92">
        <v>0</v>
      </c>
      <c r="Y10" s="93" t="e">
        <f t="shared" si="13"/>
        <v>#DIV/0!</v>
      </c>
      <c r="Z10" s="94">
        <f t="shared" ref="Z10:Z15" si="15">SUM(X10,V10,T10,R10,P10,N10,L10,J10,H10,F10,D10,B10)</f>
        <v>0</v>
      </c>
      <c r="AA10" s="95">
        <f t="shared" si="14"/>
        <v>0</v>
      </c>
      <c r="AB10" s="96">
        <f t="shared" ref="AB10:AB15" si="16">AVERAGE(X10,V10,T10,R10,P10,N10,L10,J10,H10,D10,B10)</f>
        <v>0</v>
      </c>
    </row>
    <row r="11" spans="1:34">
      <c r="A11" s="89" t="s">
        <v>76</v>
      </c>
      <c r="B11" s="90">
        <v>0</v>
      </c>
      <c r="C11" s="91">
        <f t="shared" si="2"/>
        <v>0</v>
      </c>
      <c r="D11" s="92">
        <v>0</v>
      </c>
      <c r="E11" s="93" t="e">
        <f t="shared" si="3"/>
        <v>#DIV/0!</v>
      </c>
      <c r="F11" s="90">
        <v>0</v>
      </c>
      <c r="G11" s="93" t="e">
        <f t="shared" si="4"/>
        <v>#DIV/0!</v>
      </c>
      <c r="H11" s="90">
        <v>0</v>
      </c>
      <c r="I11" s="91" t="e">
        <f t="shared" si="5"/>
        <v>#DIV/0!</v>
      </c>
      <c r="J11" s="92">
        <v>0</v>
      </c>
      <c r="K11" s="91" t="e">
        <f t="shared" si="6"/>
        <v>#DIV/0!</v>
      </c>
      <c r="L11" s="92">
        <v>0</v>
      </c>
      <c r="M11" s="91" t="e">
        <f t="shared" si="7"/>
        <v>#DIV/0!</v>
      </c>
      <c r="N11" s="92">
        <v>0</v>
      </c>
      <c r="O11" s="91" t="e">
        <f t="shared" si="8"/>
        <v>#DIV/0!</v>
      </c>
      <c r="P11" s="92">
        <v>0</v>
      </c>
      <c r="Q11" s="91" t="e">
        <f t="shared" si="9"/>
        <v>#DIV/0!</v>
      </c>
      <c r="R11" s="92">
        <v>0</v>
      </c>
      <c r="S11" s="91" t="e">
        <f t="shared" si="10"/>
        <v>#DIV/0!</v>
      </c>
      <c r="T11" s="92">
        <v>0</v>
      </c>
      <c r="U11" s="91" t="e">
        <f t="shared" si="11"/>
        <v>#DIV/0!</v>
      </c>
      <c r="V11" s="92">
        <v>0</v>
      </c>
      <c r="W11" s="91" t="e">
        <f t="shared" si="12"/>
        <v>#DIV/0!</v>
      </c>
      <c r="X11" s="92">
        <v>0</v>
      </c>
      <c r="Y11" s="93" t="e">
        <f t="shared" si="13"/>
        <v>#DIV/0!</v>
      </c>
      <c r="Z11" s="94">
        <f t="shared" si="15"/>
        <v>0</v>
      </c>
      <c r="AA11" s="95">
        <f t="shared" si="14"/>
        <v>0</v>
      </c>
      <c r="AB11" s="96">
        <f t="shared" si="16"/>
        <v>0</v>
      </c>
    </row>
    <row r="12" spans="1:34">
      <c r="A12" s="89" t="s">
        <v>77</v>
      </c>
      <c r="B12" s="90">
        <v>0</v>
      </c>
      <c r="C12" s="91">
        <f t="shared" si="2"/>
        <v>0</v>
      </c>
      <c r="D12" s="92">
        <v>0</v>
      </c>
      <c r="E12" s="93" t="e">
        <f t="shared" si="3"/>
        <v>#DIV/0!</v>
      </c>
      <c r="F12" s="90">
        <v>0</v>
      </c>
      <c r="G12" s="93" t="e">
        <f t="shared" si="4"/>
        <v>#DIV/0!</v>
      </c>
      <c r="H12" s="90">
        <v>0</v>
      </c>
      <c r="I12" s="91" t="e">
        <f t="shared" si="5"/>
        <v>#DIV/0!</v>
      </c>
      <c r="J12" s="92">
        <v>0</v>
      </c>
      <c r="K12" s="91" t="e">
        <f t="shared" si="6"/>
        <v>#DIV/0!</v>
      </c>
      <c r="L12" s="92">
        <v>0</v>
      </c>
      <c r="M12" s="91" t="e">
        <f t="shared" si="7"/>
        <v>#DIV/0!</v>
      </c>
      <c r="N12" s="92">
        <v>0</v>
      </c>
      <c r="O12" s="91" t="e">
        <f t="shared" si="8"/>
        <v>#DIV/0!</v>
      </c>
      <c r="P12" s="92">
        <v>0</v>
      </c>
      <c r="Q12" s="91" t="e">
        <f t="shared" si="9"/>
        <v>#DIV/0!</v>
      </c>
      <c r="R12" s="92">
        <v>0</v>
      </c>
      <c r="S12" s="91" t="e">
        <f t="shared" si="10"/>
        <v>#DIV/0!</v>
      </c>
      <c r="T12" s="92">
        <v>0</v>
      </c>
      <c r="U12" s="91" t="e">
        <f t="shared" si="11"/>
        <v>#DIV/0!</v>
      </c>
      <c r="V12" s="92">
        <v>0</v>
      </c>
      <c r="W12" s="91" t="e">
        <f t="shared" si="12"/>
        <v>#DIV/0!</v>
      </c>
      <c r="X12" s="92">
        <v>0</v>
      </c>
      <c r="Y12" s="93" t="e">
        <f t="shared" si="13"/>
        <v>#DIV/0!</v>
      </c>
      <c r="Z12" s="94">
        <f t="shared" si="15"/>
        <v>0</v>
      </c>
      <c r="AA12" s="95">
        <f t="shared" si="14"/>
        <v>0</v>
      </c>
      <c r="AB12" s="96">
        <f t="shared" si="16"/>
        <v>0</v>
      </c>
    </row>
    <row r="13" spans="1:34">
      <c r="A13" s="89" t="s">
        <v>78</v>
      </c>
      <c r="B13" s="90">
        <v>0</v>
      </c>
      <c r="C13" s="91">
        <f t="shared" si="2"/>
        <v>0</v>
      </c>
      <c r="D13" s="92">
        <v>0</v>
      </c>
      <c r="E13" s="93" t="e">
        <f t="shared" si="3"/>
        <v>#DIV/0!</v>
      </c>
      <c r="F13" s="90">
        <v>0</v>
      </c>
      <c r="G13" s="93" t="e">
        <f t="shared" si="4"/>
        <v>#DIV/0!</v>
      </c>
      <c r="H13" s="90">
        <v>0</v>
      </c>
      <c r="I13" s="91" t="e">
        <f t="shared" si="5"/>
        <v>#DIV/0!</v>
      </c>
      <c r="J13" s="92">
        <v>0</v>
      </c>
      <c r="K13" s="91" t="e">
        <f t="shared" si="6"/>
        <v>#DIV/0!</v>
      </c>
      <c r="L13" s="92">
        <v>0</v>
      </c>
      <c r="M13" s="91" t="e">
        <f t="shared" si="7"/>
        <v>#DIV/0!</v>
      </c>
      <c r="N13" s="92">
        <v>0</v>
      </c>
      <c r="O13" s="91" t="e">
        <f t="shared" si="8"/>
        <v>#DIV/0!</v>
      </c>
      <c r="P13" s="92">
        <v>0</v>
      </c>
      <c r="Q13" s="91" t="e">
        <f t="shared" si="9"/>
        <v>#DIV/0!</v>
      </c>
      <c r="R13" s="92">
        <v>0</v>
      </c>
      <c r="S13" s="91" t="e">
        <f t="shared" si="10"/>
        <v>#DIV/0!</v>
      </c>
      <c r="T13" s="92">
        <v>0</v>
      </c>
      <c r="U13" s="91" t="e">
        <f t="shared" si="11"/>
        <v>#DIV/0!</v>
      </c>
      <c r="V13" s="92">
        <v>0</v>
      </c>
      <c r="W13" s="91" t="e">
        <f t="shared" si="12"/>
        <v>#DIV/0!</v>
      </c>
      <c r="X13" s="92">
        <v>0</v>
      </c>
      <c r="Y13" s="93" t="e">
        <f t="shared" si="13"/>
        <v>#DIV/0!</v>
      </c>
      <c r="Z13" s="94">
        <f t="shared" si="15"/>
        <v>0</v>
      </c>
      <c r="AA13" s="95">
        <f t="shared" si="14"/>
        <v>0</v>
      </c>
      <c r="AB13" s="96">
        <f t="shared" si="16"/>
        <v>0</v>
      </c>
    </row>
    <row r="14" spans="1:34">
      <c r="A14" s="89" t="s">
        <v>79</v>
      </c>
      <c r="B14" s="90">
        <v>0</v>
      </c>
      <c r="C14" s="91">
        <f t="shared" si="2"/>
        <v>0</v>
      </c>
      <c r="D14" s="92">
        <v>0</v>
      </c>
      <c r="E14" s="93" t="e">
        <f t="shared" si="3"/>
        <v>#DIV/0!</v>
      </c>
      <c r="F14" s="90">
        <v>0</v>
      </c>
      <c r="G14" s="93" t="e">
        <f t="shared" si="4"/>
        <v>#DIV/0!</v>
      </c>
      <c r="H14" s="90">
        <v>0</v>
      </c>
      <c r="I14" s="91" t="e">
        <f t="shared" si="5"/>
        <v>#DIV/0!</v>
      </c>
      <c r="J14" s="92">
        <v>0</v>
      </c>
      <c r="K14" s="91" t="e">
        <f t="shared" si="6"/>
        <v>#DIV/0!</v>
      </c>
      <c r="L14" s="92">
        <v>0</v>
      </c>
      <c r="M14" s="91" t="e">
        <f t="shared" si="7"/>
        <v>#DIV/0!</v>
      </c>
      <c r="N14" s="92">
        <v>0</v>
      </c>
      <c r="O14" s="91" t="e">
        <f t="shared" si="8"/>
        <v>#DIV/0!</v>
      </c>
      <c r="P14" s="92">
        <v>0</v>
      </c>
      <c r="Q14" s="91" t="e">
        <f t="shared" si="9"/>
        <v>#DIV/0!</v>
      </c>
      <c r="R14" s="92">
        <v>0</v>
      </c>
      <c r="S14" s="91" t="e">
        <f t="shared" si="10"/>
        <v>#DIV/0!</v>
      </c>
      <c r="T14" s="92">
        <v>0</v>
      </c>
      <c r="U14" s="97" t="e">
        <f t="shared" si="11"/>
        <v>#DIV/0!</v>
      </c>
      <c r="V14" s="92">
        <v>0</v>
      </c>
      <c r="W14" s="91" t="e">
        <f t="shared" si="12"/>
        <v>#DIV/0!</v>
      </c>
      <c r="X14" s="92">
        <v>0</v>
      </c>
      <c r="Y14" s="93" t="e">
        <f t="shared" si="13"/>
        <v>#DIV/0!</v>
      </c>
      <c r="Z14" s="94">
        <f t="shared" si="15"/>
        <v>0</v>
      </c>
      <c r="AA14" s="95">
        <f t="shared" si="14"/>
        <v>0</v>
      </c>
      <c r="AB14" s="96">
        <f t="shared" si="16"/>
        <v>0</v>
      </c>
    </row>
    <row r="15" spans="1:34">
      <c r="A15" s="89" t="s">
        <v>48</v>
      </c>
      <c r="B15" s="90">
        <v>0</v>
      </c>
      <c r="C15" s="91">
        <f t="shared" si="2"/>
        <v>0</v>
      </c>
      <c r="D15" s="92">
        <v>0</v>
      </c>
      <c r="E15" s="93" t="e">
        <f t="shared" si="3"/>
        <v>#DIV/0!</v>
      </c>
      <c r="F15" s="90">
        <v>0</v>
      </c>
      <c r="G15" s="93" t="e">
        <f t="shared" si="4"/>
        <v>#DIV/0!</v>
      </c>
      <c r="H15" s="90">
        <v>0</v>
      </c>
      <c r="I15" s="91" t="e">
        <f t="shared" si="5"/>
        <v>#DIV/0!</v>
      </c>
      <c r="J15" s="92">
        <v>0</v>
      </c>
      <c r="K15" s="91" t="e">
        <f t="shared" si="6"/>
        <v>#DIV/0!</v>
      </c>
      <c r="L15" s="92">
        <v>0</v>
      </c>
      <c r="M15" s="91" t="e">
        <f t="shared" si="7"/>
        <v>#DIV/0!</v>
      </c>
      <c r="N15" s="92">
        <v>0</v>
      </c>
      <c r="O15" s="91" t="e">
        <f t="shared" si="8"/>
        <v>#DIV/0!</v>
      </c>
      <c r="P15" s="92">
        <v>0</v>
      </c>
      <c r="Q15" s="91" t="e">
        <f t="shared" si="9"/>
        <v>#DIV/0!</v>
      </c>
      <c r="R15" s="92">
        <v>0</v>
      </c>
      <c r="S15" s="91" t="e">
        <f t="shared" si="10"/>
        <v>#DIV/0!</v>
      </c>
      <c r="T15" s="92">
        <v>0</v>
      </c>
      <c r="U15" s="91" t="e">
        <f t="shared" si="11"/>
        <v>#DIV/0!</v>
      </c>
      <c r="V15" s="92">
        <v>0</v>
      </c>
      <c r="W15" s="91" t="e">
        <f t="shared" si="12"/>
        <v>#DIV/0!</v>
      </c>
      <c r="X15" s="92">
        <v>0</v>
      </c>
      <c r="Y15" s="93" t="e">
        <f t="shared" si="13"/>
        <v>#DIV/0!</v>
      </c>
      <c r="Z15" s="94">
        <f t="shared" si="15"/>
        <v>0</v>
      </c>
      <c r="AA15" s="95">
        <f t="shared" si="14"/>
        <v>0</v>
      </c>
      <c r="AB15" s="96">
        <f t="shared" si="16"/>
        <v>0</v>
      </c>
    </row>
    <row r="16" spans="1:34" ht="20.25" customHeight="1">
      <c r="A16" s="8" t="s">
        <v>80</v>
      </c>
      <c r="B16" s="184">
        <f>SUM(B3:B15)</f>
        <v>647</v>
      </c>
      <c r="C16" s="185"/>
      <c r="D16" s="184">
        <f t="shared" ref="D16" si="17">SUM(D3:D15)</f>
        <v>0</v>
      </c>
      <c r="E16" s="185"/>
      <c r="F16" s="184">
        <f t="shared" ref="F16" si="18">SUM(F3:F15)</f>
        <v>0</v>
      </c>
      <c r="G16" s="185"/>
      <c r="H16" s="184">
        <f t="shared" ref="H16" si="19">SUM(H3:H15)</f>
        <v>0</v>
      </c>
      <c r="I16" s="185"/>
      <c r="J16" s="184">
        <f t="shared" ref="J16" si="20">SUM(J3:J15)</f>
        <v>0</v>
      </c>
      <c r="K16" s="185"/>
      <c r="L16" s="184">
        <f t="shared" ref="L16" si="21">SUM(L3:L15)</f>
        <v>0</v>
      </c>
      <c r="M16" s="185"/>
      <c r="N16" s="184">
        <f t="shared" ref="N16" si="22">SUM(N3:N15)</f>
        <v>0</v>
      </c>
      <c r="O16" s="185"/>
      <c r="P16" s="184">
        <f t="shared" ref="P16" si="23">SUM(P3:P15)</f>
        <v>0</v>
      </c>
      <c r="Q16" s="185"/>
      <c r="R16" s="184">
        <f t="shared" ref="R16" si="24">SUM(R3:R15)</f>
        <v>0</v>
      </c>
      <c r="S16" s="185"/>
      <c r="T16" s="184">
        <f t="shared" ref="T16" si="25">SUM(T3:T15)</f>
        <v>0</v>
      </c>
      <c r="U16" s="185"/>
      <c r="V16" s="184">
        <f t="shared" ref="V16" si="26">SUM(V3:V15)</f>
        <v>0</v>
      </c>
      <c r="W16" s="185"/>
      <c r="X16" s="184">
        <f t="shared" ref="X16" si="27">SUM(X3:X15)</f>
        <v>0</v>
      </c>
      <c r="Y16" s="185"/>
      <c r="Z16" s="184">
        <f>SUM(Z3:Z15)</f>
        <v>647</v>
      </c>
      <c r="AA16" s="185"/>
      <c r="AB16" s="9">
        <f t="shared" si="1"/>
        <v>58.81818181818182</v>
      </c>
    </row>
    <row r="17" spans="1:28" ht="15.75" customHeight="1">
      <c r="A17" s="109" t="s">
        <v>81</v>
      </c>
      <c r="B17" s="169"/>
      <c r="C17" s="170"/>
      <c r="D17" s="166"/>
      <c r="E17" s="168"/>
      <c r="F17" s="166"/>
      <c r="G17" s="167"/>
      <c r="H17" s="168"/>
      <c r="I17" s="167"/>
      <c r="J17" s="166"/>
      <c r="K17" s="167"/>
      <c r="L17" s="166"/>
      <c r="M17" s="167"/>
      <c r="N17" s="166"/>
      <c r="O17" s="167"/>
      <c r="P17" s="166"/>
      <c r="Q17" s="167"/>
      <c r="R17" s="166"/>
      <c r="S17" s="167"/>
      <c r="T17" s="166"/>
      <c r="U17" s="167"/>
      <c r="V17" s="166"/>
      <c r="W17" s="167"/>
      <c r="X17" s="166"/>
      <c r="Y17" s="168"/>
      <c r="Z17" s="166">
        <f>SUM(X17)</f>
        <v>0</v>
      </c>
      <c r="AA17" s="179"/>
      <c r="AB17" s="11"/>
    </row>
    <row r="18" spans="1:28">
      <c r="A18" s="10" t="s">
        <v>82</v>
      </c>
      <c r="B18" s="176">
        <v>0</v>
      </c>
      <c r="C18" s="178"/>
      <c r="D18" s="176">
        <v>0</v>
      </c>
      <c r="E18" s="177"/>
      <c r="F18" s="178">
        <v>0</v>
      </c>
      <c r="G18" s="177"/>
      <c r="H18" s="178">
        <v>0</v>
      </c>
      <c r="I18" s="178"/>
      <c r="J18" s="176">
        <v>0</v>
      </c>
      <c r="K18" s="178"/>
      <c r="L18" s="176">
        <v>0</v>
      </c>
      <c r="M18" s="178"/>
      <c r="N18" s="176">
        <v>0</v>
      </c>
      <c r="O18" s="178"/>
      <c r="P18" s="176">
        <v>0</v>
      </c>
      <c r="Q18" s="178"/>
      <c r="R18" s="176">
        <v>0</v>
      </c>
      <c r="S18" s="178"/>
      <c r="T18" s="176">
        <v>0</v>
      </c>
      <c r="U18" s="178"/>
      <c r="V18" s="176">
        <v>0</v>
      </c>
      <c r="W18" s="178"/>
      <c r="X18" s="176">
        <v>0</v>
      </c>
      <c r="Y18" s="177"/>
      <c r="Z18" s="178">
        <f>SUM(B18:Y18)</f>
        <v>0</v>
      </c>
      <c r="AA18" s="178"/>
      <c r="AB18" s="11">
        <f t="shared" si="1"/>
        <v>0</v>
      </c>
    </row>
    <row r="19" spans="1:28">
      <c r="A19" s="107" t="s">
        <v>83</v>
      </c>
      <c r="B19" s="186">
        <f>B18-B16</f>
        <v>-647</v>
      </c>
      <c r="C19" s="187"/>
      <c r="D19" s="188">
        <f>D18-D16</f>
        <v>0</v>
      </c>
      <c r="E19" s="189"/>
      <c r="F19" s="188">
        <f>F18-F16</f>
        <v>0</v>
      </c>
      <c r="G19" s="189"/>
      <c r="H19" s="188">
        <f>H18-H16</f>
        <v>0</v>
      </c>
      <c r="I19" s="190"/>
      <c r="J19" s="191">
        <f t="shared" ref="J19:Y19" si="28">J18-J16</f>
        <v>0</v>
      </c>
      <c r="K19" s="187"/>
      <c r="L19" s="188">
        <f t="shared" ref="L19:Y19" si="29">L18-L16</f>
        <v>0</v>
      </c>
      <c r="M19" s="189"/>
      <c r="N19" s="188">
        <f t="shared" ref="N19:Y19" si="30">N18-N16</f>
        <v>0</v>
      </c>
      <c r="O19" s="189"/>
      <c r="P19" s="188">
        <f t="shared" ref="P19:Y19" si="31">P18-P16</f>
        <v>0</v>
      </c>
      <c r="Q19" s="190"/>
      <c r="R19" s="191">
        <f t="shared" ref="R19:Y19" si="32">R18-R16</f>
        <v>0</v>
      </c>
      <c r="S19" s="187"/>
      <c r="T19" s="188">
        <f t="shared" ref="T19:Y19" si="33">T18-T16</f>
        <v>0</v>
      </c>
      <c r="U19" s="189"/>
      <c r="V19" s="188">
        <f t="shared" ref="V19:Y19" si="34">V18-V16</f>
        <v>0</v>
      </c>
      <c r="W19" s="189"/>
      <c r="X19" s="188">
        <f t="shared" ref="X19:Y19" si="35">X18-X16</f>
        <v>0</v>
      </c>
      <c r="Y19" s="189"/>
      <c r="Z19" s="188">
        <f>SUM(B19:Y19)</f>
        <v>-647</v>
      </c>
      <c r="AA19" s="189"/>
      <c r="AB19" s="108">
        <f t="shared" si="1"/>
        <v>-58.81818181818182</v>
      </c>
    </row>
    <row r="20" spans="1:28">
      <c r="A20" s="106" t="s">
        <v>84</v>
      </c>
      <c r="B20" s="198">
        <v>3000</v>
      </c>
      <c r="C20" s="197"/>
      <c r="D20" s="192"/>
      <c r="E20" s="197"/>
      <c r="F20" s="192"/>
      <c r="G20" s="197"/>
      <c r="H20" s="192"/>
      <c r="I20" s="197"/>
      <c r="J20" s="192"/>
      <c r="K20" s="193"/>
      <c r="L20" s="196"/>
      <c r="M20" s="197"/>
      <c r="N20" s="192"/>
      <c r="O20" s="193"/>
      <c r="P20" s="196"/>
      <c r="Q20" s="197"/>
      <c r="R20" s="192"/>
      <c r="S20" s="193"/>
      <c r="T20" s="196"/>
      <c r="U20" s="197"/>
      <c r="V20" s="194"/>
      <c r="W20" s="195"/>
      <c r="X20" s="194"/>
      <c r="Y20" s="195"/>
      <c r="Z20" s="199">
        <f>SUM(B20:Y20)</f>
        <v>3000</v>
      </c>
      <c r="AA20" s="200"/>
      <c r="AB20" s="201"/>
    </row>
    <row r="21" spans="1:28">
      <c r="A21" s="106" t="s">
        <v>85</v>
      </c>
      <c r="B21" s="198">
        <f>10000-B20</f>
        <v>7000</v>
      </c>
      <c r="C21" s="197"/>
      <c r="D21" s="194">
        <f t="shared" ref="D21" si="36">10000-D20</f>
        <v>10000</v>
      </c>
      <c r="E21" s="195"/>
      <c r="F21" s="194">
        <f t="shared" ref="F21" si="37">10000-F20</f>
        <v>10000</v>
      </c>
      <c r="G21" s="195"/>
      <c r="H21" s="194">
        <f t="shared" ref="H21" si="38">10000-H20</f>
        <v>10000</v>
      </c>
      <c r="I21" s="195"/>
      <c r="J21" s="194">
        <f t="shared" ref="J21" si="39">10000-J20</f>
        <v>10000</v>
      </c>
      <c r="K21" s="195"/>
      <c r="L21" s="194">
        <f t="shared" ref="L21" si="40">10000-L20</f>
        <v>10000</v>
      </c>
      <c r="M21" s="195"/>
      <c r="N21" s="194">
        <f t="shared" ref="N21" si="41">10000-N20</f>
        <v>10000</v>
      </c>
      <c r="O21" s="195"/>
      <c r="P21" s="194">
        <f t="shared" ref="P21" si="42">10000-P20</f>
        <v>10000</v>
      </c>
      <c r="Q21" s="195"/>
      <c r="R21" s="194">
        <f t="shared" ref="R21" si="43">10000-R20</f>
        <v>10000</v>
      </c>
      <c r="S21" s="195"/>
      <c r="T21" s="194">
        <f t="shared" ref="T21" si="44">10000-T20</f>
        <v>10000</v>
      </c>
      <c r="U21" s="195"/>
      <c r="V21" s="194">
        <f t="shared" ref="V21" si="45">10000-V20</f>
        <v>10000</v>
      </c>
      <c r="W21" s="195"/>
      <c r="X21" s="194">
        <f t="shared" ref="X21" si="46">10000-X20</f>
        <v>10000</v>
      </c>
      <c r="Y21" s="195"/>
      <c r="Z21" s="202"/>
      <c r="AA21" s="203"/>
      <c r="AB21" s="204"/>
    </row>
  </sheetData>
  <mergeCells count="93">
    <mergeCell ref="V20:W20"/>
    <mergeCell ref="V21:W21"/>
    <mergeCell ref="Z20:AB21"/>
    <mergeCell ref="P21:Q21"/>
    <mergeCell ref="R20:S20"/>
    <mergeCell ref="R21:S21"/>
    <mergeCell ref="T20:U20"/>
    <mergeCell ref="T21:U21"/>
    <mergeCell ref="X20:Y20"/>
    <mergeCell ref="X21:Y21"/>
    <mergeCell ref="B20:C20"/>
    <mergeCell ref="B21:C21"/>
    <mergeCell ref="D20:E20"/>
    <mergeCell ref="D21:E21"/>
    <mergeCell ref="F20:G20"/>
    <mergeCell ref="F21:G21"/>
    <mergeCell ref="H20:I20"/>
    <mergeCell ref="H21:I21"/>
    <mergeCell ref="J20:K20"/>
    <mergeCell ref="J21:K21"/>
    <mergeCell ref="L20:M20"/>
    <mergeCell ref="L21:M21"/>
    <mergeCell ref="N20:O20"/>
    <mergeCell ref="N21:O21"/>
    <mergeCell ref="P20:Q20"/>
    <mergeCell ref="R18:S18"/>
    <mergeCell ref="T18:U18"/>
    <mergeCell ref="N19:O19"/>
    <mergeCell ref="P19:Q19"/>
    <mergeCell ref="Z19:AA19"/>
    <mergeCell ref="V18:W18"/>
    <mergeCell ref="R19:S19"/>
    <mergeCell ref="T19:U19"/>
    <mergeCell ref="V19:W19"/>
    <mergeCell ref="X19:Y19"/>
    <mergeCell ref="L18:M18"/>
    <mergeCell ref="N18:O18"/>
    <mergeCell ref="P18:Q18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L19:M19"/>
    <mergeCell ref="AD1:AE1"/>
    <mergeCell ref="AG1:AH1"/>
    <mergeCell ref="X16:Y16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Z16:AA16"/>
    <mergeCell ref="J1:K1"/>
    <mergeCell ref="A1:A2"/>
    <mergeCell ref="B1:C1"/>
    <mergeCell ref="D1:E1"/>
    <mergeCell ref="F1:G1"/>
    <mergeCell ref="H1:I1"/>
    <mergeCell ref="L1:M1"/>
    <mergeCell ref="N1:O1"/>
    <mergeCell ref="P1:Q1"/>
    <mergeCell ref="R1:S1"/>
    <mergeCell ref="T1:U1"/>
    <mergeCell ref="V1:W1"/>
    <mergeCell ref="X1:Y1"/>
    <mergeCell ref="Z1:AB1"/>
    <mergeCell ref="X18:Y18"/>
    <mergeCell ref="Z18:AA18"/>
    <mergeCell ref="V17:W17"/>
    <mergeCell ref="X17:Y17"/>
    <mergeCell ref="Z17:AA17"/>
    <mergeCell ref="D17:E17"/>
    <mergeCell ref="F17:G17"/>
    <mergeCell ref="B17:C17"/>
    <mergeCell ref="H17:I17"/>
    <mergeCell ref="J17:K17"/>
    <mergeCell ref="L17:M17"/>
    <mergeCell ref="N17:O17"/>
    <mergeCell ref="P17:Q17"/>
    <mergeCell ref="R17:S17"/>
    <mergeCell ref="T17:U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2025-11-27T13:07:42Z</dcterms:created>
  <dcterms:modified xsi:type="dcterms:W3CDTF">2026-01-28T12:39:27Z</dcterms:modified>
  <cp:category/>
  <cp:contentStatus/>
</cp:coreProperties>
</file>