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A548235D-7161-4928-BB7E-6A4051E363E6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JANUARY 26" sheetId="1" r:id="rId1"/>
    <sheet name="FEBRUARY 26" sheetId="3" r:id="rId2"/>
    <sheet name="MARÇO 26" sheetId="4" r:id="rId3"/>
    <sheet name="ABRIL 26" sheetId="6" r:id="rId4"/>
    <sheet name="MAIO 26" sheetId="5" r:id="rId5"/>
    <sheet name="JUNHO 26" sheetId="7" r:id="rId6"/>
    <sheet name="JULHO 26" sheetId="8" r:id="rId7"/>
    <sheet name="AGOSTO 26" sheetId="9" r:id="rId8"/>
    <sheet name="OVEERVIEW DESPESAS 2026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9" l="1"/>
  <c r="U30" i="9"/>
  <c r="S30" i="9"/>
  <c r="Q30" i="9"/>
  <c r="Q31" i="9" s="1"/>
  <c r="O30" i="9"/>
  <c r="M30" i="9"/>
  <c r="J30" i="9"/>
  <c r="J31" i="9" s="1"/>
  <c r="Q32" i="9" s="1"/>
  <c r="Q33" i="9" s="1"/>
  <c r="I23" i="9"/>
  <c r="I29" i="9" s="1"/>
  <c r="I30" i="9" s="1"/>
  <c r="D12" i="9"/>
  <c r="D6" i="9"/>
  <c r="D4" i="9"/>
  <c r="D3" i="9"/>
  <c r="I23" i="8"/>
  <c r="I29" i="8"/>
  <c r="J30" i="8"/>
  <c r="M30" i="8"/>
  <c r="O30" i="8"/>
  <c r="J31" i="8"/>
  <c r="Q30" i="8"/>
  <c r="S30" i="8"/>
  <c r="U30" i="8"/>
  <c r="W30" i="8"/>
  <c r="Q31" i="8"/>
  <c r="Q32" i="8"/>
  <c r="I30" i="8"/>
  <c r="Q33" i="8"/>
  <c r="D3" i="8"/>
  <c r="D4" i="8"/>
  <c r="D5" i="8"/>
  <c r="D6" i="8"/>
  <c r="D12" i="8"/>
  <c r="W30" i="7"/>
  <c r="U30" i="7"/>
  <c r="S30" i="7"/>
  <c r="Q30" i="7"/>
  <c r="Q31" i="7"/>
  <c r="O30" i="7"/>
  <c r="M30" i="7"/>
  <c r="J30" i="7"/>
  <c r="J31" i="7"/>
  <c r="Q32" i="7"/>
  <c r="Q33" i="7"/>
  <c r="I23" i="7"/>
  <c r="I29" i="7"/>
  <c r="I30" i="7"/>
  <c r="D12" i="7"/>
  <c r="D6" i="7"/>
  <c r="D4" i="7"/>
  <c r="D3" i="7"/>
  <c r="W30" i="6"/>
  <c r="U30" i="6"/>
  <c r="S30" i="6"/>
  <c r="Q30" i="6"/>
  <c r="Q31" i="6"/>
  <c r="O30" i="6"/>
  <c r="M30" i="6"/>
  <c r="J30" i="6"/>
  <c r="J31" i="6"/>
  <c r="Q32" i="6"/>
  <c r="Q33" i="6"/>
  <c r="I23" i="6"/>
  <c r="I29" i="6"/>
  <c r="I30" i="6"/>
  <c r="D12" i="6"/>
  <c r="D6" i="6"/>
  <c r="D4" i="6"/>
  <c r="D3" i="6"/>
  <c r="W30" i="5"/>
  <c r="U30" i="5"/>
  <c r="S30" i="5"/>
  <c r="Q30" i="5"/>
  <c r="Q31" i="5"/>
  <c r="O30" i="5"/>
  <c r="M30" i="5"/>
  <c r="J30" i="5"/>
  <c r="J31" i="5"/>
  <c r="Q32" i="5"/>
  <c r="Q33" i="5"/>
  <c r="I23" i="5"/>
  <c r="I29" i="5"/>
  <c r="I30" i="5"/>
  <c r="D12" i="5"/>
  <c r="D6" i="5"/>
  <c r="D4" i="5"/>
  <c r="D3" i="5"/>
  <c r="W30" i="4"/>
  <c r="U30" i="4"/>
  <c r="S30" i="4"/>
  <c r="Q30" i="4"/>
  <c r="Q31" i="4"/>
  <c r="O30" i="4"/>
  <c r="M30" i="4"/>
  <c r="J30" i="4"/>
  <c r="J31" i="4"/>
  <c r="Q32" i="4"/>
  <c r="Q33" i="4"/>
  <c r="I23" i="4"/>
  <c r="I29" i="4"/>
  <c r="I30" i="4"/>
  <c r="D12" i="4"/>
  <c r="D6" i="4"/>
  <c r="D4" i="4"/>
  <c r="D3" i="4"/>
  <c r="D22" i="2"/>
  <c r="F22" i="2"/>
  <c r="H22" i="2"/>
  <c r="J22" i="2"/>
  <c r="L22" i="2"/>
  <c r="N22" i="2"/>
  <c r="P22" i="2"/>
  <c r="R22" i="2"/>
  <c r="T22" i="2"/>
  <c r="V22" i="2"/>
  <c r="X22" i="2"/>
  <c r="Z13" i="2"/>
  <c r="AB13" i="2"/>
  <c r="Y13" i="2"/>
  <c r="W13" i="2"/>
  <c r="U13" i="2"/>
  <c r="S13" i="2"/>
  <c r="Q13" i="2"/>
  <c r="O13" i="2"/>
  <c r="J17" i="2"/>
  <c r="K13" i="2"/>
  <c r="Z18" i="2"/>
  <c r="W30" i="3"/>
  <c r="U30" i="3"/>
  <c r="S30" i="3"/>
  <c r="Q30" i="3"/>
  <c r="Q31" i="3"/>
  <c r="O30" i="3"/>
  <c r="M30" i="3"/>
  <c r="J30" i="3"/>
  <c r="J31" i="3"/>
  <c r="Q32" i="3"/>
  <c r="Q33" i="3"/>
  <c r="I23" i="3"/>
  <c r="I29" i="3"/>
  <c r="I30" i="3"/>
  <c r="D12" i="3"/>
  <c r="D6" i="3"/>
  <c r="D4" i="3"/>
  <c r="D3" i="3"/>
  <c r="Z9" i="2"/>
  <c r="AB9" i="2"/>
  <c r="Z10" i="2"/>
  <c r="AB10" i="2"/>
  <c r="Z11" i="2"/>
  <c r="AB11" i="2"/>
  <c r="Z12" i="2"/>
  <c r="AB12" i="2"/>
  <c r="Z14" i="2"/>
  <c r="AB14" i="2"/>
  <c r="Z15" i="2"/>
  <c r="AB15" i="2"/>
  <c r="Z16" i="2"/>
  <c r="AB16" i="2"/>
  <c r="D17" i="2"/>
  <c r="E13" i="2"/>
  <c r="F17" i="2"/>
  <c r="G13" i="2"/>
  <c r="H17" i="2"/>
  <c r="I13" i="2"/>
  <c r="L17" i="2"/>
  <c r="M13" i="2" s="1"/>
  <c r="N17" i="2"/>
  <c r="P17" i="2"/>
  <c r="R17" i="2"/>
  <c r="T17" i="2"/>
  <c r="V17" i="2"/>
  <c r="X17" i="2"/>
  <c r="B17" i="2"/>
  <c r="C13" i="2"/>
  <c r="O9" i="2"/>
  <c r="Q9" i="2"/>
  <c r="S9" i="2"/>
  <c r="U9" i="2"/>
  <c r="W9" i="2"/>
  <c r="Y9" i="2"/>
  <c r="O10" i="2"/>
  <c r="Q10" i="2"/>
  <c r="S10" i="2"/>
  <c r="U10" i="2"/>
  <c r="W10" i="2"/>
  <c r="Y10" i="2"/>
  <c r="O11" i="2"/>
  <c r="Q11" i="2"/>
  <c r="S11" i="2"/>
  <c r="U11" i="2"/>
  <c r="W11" i="2"/>
  <c r="Y11" i="2"/>
  <c r="O12" i="2"/>
  <c r="Q12" i="2"/>
  <c r="S12" i="2"/>
  <c r="U12" i="2"/>
  <c r="W12" i="2"/>
  <c r="Y12" i="2"/>
  <c r="O14" i="2"/>
  <c r="Q14" i="2"/>
  <c r="S14" i="2"/>
  <c r="U14" i="2"/>
  <c r="W14" i="2"/>
  <c r="Y14" i="2"/>
  <c r="O15" i="2"/>
  <c r="Q15" i="2"/>
  <c r="S15" i="2"/>
  <c r="U15" i="2"/>
  <c r="W15" i="2"/>
  <c r="Y15" i="2"/>
  <c r="O16" i="2"/>
  <c r="Q16" i="2"/>
  <c r="S16" i="2"/>
  <c r="U16" i="2"/>
  <c r="W16" i="2"/>
  <c r="Y16" i="2"/>
  <c r="M9" i="2"/>
  <c r="M10" i="2"/>
  <c r="M11" i="2"/>
  <c r="M12" i="2"/>
  <c r="M14" i="2"/>
  <c r="M15" i="2"/>
  <c r="M16" i="2"/>
  <c r="K9" i="2"/>
  <c r="K10" i="2"/>
  <c r="K11" i="2"/>
  <c r="K12" i="2"/>
  <c r="K14" i="2"/>
  <c r="K15" i="2"/>
  <c r="K16" i="2"/>
  <c r="I9" i="2"/>
  <c r="I10" i="2"/>
  <c r="I11" i="2"/>
  <c r="I12" i="2"/>
  <c r="I14" i="2"/>
  <c r="I15" i="2"/>
  <c r="I16" i="2"/>
  <c r="G9" i="2"/>
  <c r="G10" i="2"/>
  <c r="G11" i="2"/>
  <c r="G12" i="2"/>
  <c r="G14" i="2"/>
  <c r="G15" i="2"/>
  <c r="G16" i="2"/>
  <c r="E9" i="2"/>
  <c r="E10" i="2"/>
  <c r="E11" i="2"/>
  <c r="E12" i="2"/>
  <c r="E14" i="2"/>
  <c r="E15" i="2"/>
  <c r="E16" i="2"/>
  <c r="C9" i="2"/>
  <c r="C10" i="2"/>
  <c r="C11" i="2"/>
  <c r="C12" i="2"/>
  <c r="C15" i="2"/>
  <c r="C16" i="2"/>
  <c r="I23" i="1"/>
  <c r="U30" i="1"/>
  <c r="O30" i="1"/>
  <c r="M30" i="1"/>
  <c r="J30" i="1"/>
  <c r="J31" i="1"/>
  <c r="D12" i="1"/>
  <c r="I29" i="1"/>
  <c r="Q30" i="1"/>
  <c r="S30" i="1"/>
  <c r="W30" i="1"/>
  <c r="AB19" i="2"/>
  <c r="Z19" i="2"/>
  <c r="V20" i="2"/>
  <c r="T20" i="2"/>
  <c r="R20" i="2"/>
  <c r="P20" i="2"/>
  <c r="N20" i="2"/>
  <c r="L20" i="2"/>
  <c r="J20" i="2"/>
  <c r="H20" i="2"/>
  <c r="F20" i="2"/>
  <c r="D20" i="2"/>
  <c r="B20" i="2"/>
  <c r="AB8" i="2"/>
  <c r="Z8" i="2"/>
  <c r="Y8" i="2"/>
  <c r="W8" i="2"/>
  <c r="U8" i="2"/>
  <c r="S8" i="2"/>
  <c r="Q8" i="2"/>
  <c r="O8" i="2"/>
  <c r="M8" i="2"/>
  <c r="K8" i="2"/>
  <c r="I8" i="2"/>
  <c r="G8" i="2"/>
  <c r="E8" i="2"/>
  <c r="C8" i="2"/>
  <c r="AB7" i="2"/>
  <c r="Z7" i="2"/>
  <c r="Y7" i="2"/>
  <c r="W7" i="2"/>
  <c r="U7" i="2"/>
  <c r="S7" i="2"/>
  <c r="Q7" i="2"/>
  <c r="O7" i="2"/>
  <c r="M7" i="2"/>
  <c r="K7" i="2"/>
  <c r="I7" i="2"/>
  <c r="G7" i="2"/>
  <c r="E7" i="2"/>
  <c r="C7" i="2"/>
  <c r="AB6" i="2"/>
  <c r="Z6" i="2"/>
  <c r="Y6" i="2"/>
  <c r="W6" i="2"/>
  <c r="U6" i="2"/>
  <c r="S6" i="2"/>
  <c r="Q6" i="2"/>
  <c r="O6" i="2"/>
  <c r="M6" i="2"/>
  <c r="K6" i="2"/>
  <c r="I6" i="2"/>
  <c r="G6" i="2"/>
  <c r="E6" i="2"/>
  <c r="C6" i="2"/>
  <c r="AB5" i="2"/>
  <c r="Z5" i="2"/>
  <c r="Y5" i="2"/>
  <c r="W5" i="2"/>
  <c r="U5" i="2"/>
  <c r="S5" i="2"/>
  <c r="Q5" i="2"/>
  <c r="O5" i="2"/>
  <c r="M5" i="2"/>
  <c r="K5" i="2"/>
  <c r="I5" i="2"/>
  <c r="G5" i="2"/>
  <c r="E5" i="2"/>
  <c r="C5" i="2"/>
  <c r="AB4" i="2"/>
  <c r="Z4" i="2"/>
  <c r="Y4" i="2"/>
  <c r="W4" i="2"/>
  <c r="U4" i="2"/>
  <c r="S4" i="2"/>
  <c r="Q4" i="2"/>
  <c r="O4" i="2"/>
  <c r="M4" i="2"/>
  <c r="K4" i="2"/>
  <c r="I4" i="2"/>
  <c r="G4" i="2"/>
  <c r="E4" i="2"/>
  <c r="C4" i="2"/>
  <c r="AB3" i="2"/>
  <c r="Z3" i="2"/>
  <c r="Z17" i="2"/>
  <c r="AA13" i="2"/>
  <c r="Y3" i="2"/>
  <c r="W3" i="2"/>
  <c r="U3" i="2"/>
  <c r="S3" i="2"/>
  <c r="Q3" i="2"/>
  <c r="O3" i="2"/>
  <c r="M3" i="2"/>
  <c r="K3" i="2"/>
  <c r="I3" i="2"/>
  <c r="G3" i="2"/>
  <c r="E3" i="2"/>
  <c r="C3" i="2"/>
  <c r="D5" i="7"/>
  <c r="D5" i="6"/>
  <c r="D5" i="5"/>
  <c r="D5" i="4"/>
  <c r="C14" i="2"/>
  <c r="Z21" i="2"/>
  <c r="B22" i="2"/>
  <c r="D5" i="3"/>
  <c r="D3" i="1"/>
  <c r="AA9" i="2"/>
  <c r="AA10" i="2"/>
  <c r="AA11" i="2"/>
  <c r="AA12" i="2"/>
  <c r="AA14" i="2"/>
  <c r="AA15" i="2"/>
  <c r="AA16" i="2"/>
  <c r="Q31" i="1"/>
  <c r="AA3" i="2"/>
  <c r="AA4" i="2"/>
  <c r="AA5" i="2"/>
  <c r="AA6" i="2"/>
  <c r="AA7" i="2"/>
  <c r="AA8" i="2"/>
  <c r="X20" i="2"/>
  <c r="Z20" i="2"/>
  <c r="AB17" i="2"/>
  <c r="D4" i="1"/>
  <c r="D5" i="1"/>
  <c r="Q32" i="1"/>
  <c r="Q33" i="1"/>
  <c r="I30" i="1"/>
  <c r="D6" i="1"/>
  <c r="AB20" i="2"/>
  <c r="D5" i="9" l="1"/>
</calcChain>
</file>

<file path=xl/sharedStrings.xml><?xml version="1.0" encoding="utf-8"?>
<sst xmlns="http://schemas.openxmlformats.org/spreadsheetml/2006/main" count="734" uniqueCount="189">
  <si>
    <t>Essentials</t>
  </si>
  <si>
    <t>INCOME</t>
  </si>
  <si>
    <t>EXPENSES</t>
  </si>
  <si>
    <t xml:space="preserve">Lifestyle </t>
  </si>
  <si>
    <t>ESSENTIALS</t>
  </si>
  <si>
    <t>LIFESTYLE</t>
  </si>
  <si>
    <t>TOTAL</t>
  </si>
  <si>
    <t>Date</t>
  </si>
  <si>
    <t>WHAT</t>
  </si>
  <si>
    <t>€</t>
  </si>
  <si>
    <t>BILLS</t>
  </si>
  <si>
    <t>DOG SUPPLIES</t>
  </si>
  <si>
    <t>GROCERIES</t>
  </si>
  <si>
    <t>OUT</t>
  </si>
  <si>
    <t>SHOPPING</t>
  </si>
  <si>
    <t>SUBSCRIPTIONS &amp; SERVICES</t>
  </si>
  <si>
    <t>PROJECTS AND STUDIES</t>
  </si>
  <si>
    <t>BOI</t>
  </si>
  <si>
    <t>Mês Anterior</t>
  </si>
  <si>
    <t>Description</t>
  </si>
  <si>
    <t>7 \ 1</t>
  </si>
  <si>
    <t xml:space="preserve">Zanzibar </t>
  </si>
  <si>
    <t>Rent</t>
  </si>
  <si>
    <t>PERSONAL SPENDINGS</t>
  </si>
  <si>
    <t>GYM</t>
  </si>
  <si>
    <t xml:space="preserve">Curso data analist </t>
  </si>
  <si>
    <t xml:space="preserve">Electricity </t>
  </si>
  <si>
    <t>PIncéis Makeup</t>
  </si>
  <si>
    <t>TV</t>
  </si>
  <si>
    <t>SAFE</t>
  </si>
  <si>
    <t>14 \ 1</t>
  </si>
  <si>
    <t>6\1</t>
  </si>
  <si>
    <t>Internet</t>
  </si>
  <si>
    <t xml:space="preserve">shiki </t>
  </si>
  <si>
    <t xml:space="preserve">Etsy </t>
  </si>
  <si>
    <t>Desde o mês passado</t>
  </si>
  <si>
    <t>BOI Maintance</t>
  </si>
  <si>
    <t>Este mês</t>
  </si>
  <si>
    <t>21\ 1</t>
  </si>
  <si>
    <t xml:space="preserve">Zanibar </t>
  </si>
  <si>
    <t xml:space="preserve"> 28 \ 1 </t>
  </si>
  <si>
    <t>TRANSPORTATION</t>
  </si>
  <si>
    <t>tips</t>
  </si>
  <si>
    <t>Diesel</t>
  </si>
  <si>
    <t>Car Repair</t>
  </si>
  <si>
    <t>ETC</t>
  </si>
  <si>
    <t>TRAVEL</t>
  </si>
  <si>
    <t>Car park</t>
  </si>
  <si>
    <t>Prenda Carlos</t>
  </si>
  <si>
    <t>Viagem em Maio (Portugal e Canárias)</t>
  </si>
  <si>
    <t>Troll</t>
  </si>
  <si>
    <t>UNKNOWN</t>
  </si>
  <si>
    <t>HEALTH</t>
  </si>
  <si>
    <t>HOME FORNITURE</t>
  </si>
  <si>
    <t>Sideboard</t>
  </si>
  <si>
    <t>Jysk (trolley)</t>
  </si>
  <si>
    <t>Dining table</t>
  </si>
  <si>
    <t>TOTAL:</t>
  </si>
  <si>
    <t>LEFT TO SPEND (máx 1300 \ m)</t>
  </si>
  <si>
    <t>4 \ 2</t>
  </si>
  <si>
    <t>Dog Food</t>
  </si>
  <si>
    <t>wine</t>
  </si>
  <si>
    <t xml:space="preserve">desparasitante </t>
  </si>
  <si>
    <t>La Fontana</t>
  </si>
  <si>
    <t>roupa primark</t>
  </si>
  <si>
    <t xml:space="preserve">Bimby </t>
  </si>
  <si>
    <t>11 \ 2</t>
  </si>
  <si>
    <t>26\1</t>
  </si>
  <si>
    <t>Nitendo</t>
  </si>
  <si>
    <t>bookstation</t>
  </si>
  <si>
    <t>chat GPT</t>
  </si>
  <si>
    <t>18 \ 2</t>
  </si>
  <si>
    <t>License TV</t>
  </si>
  <si>
    <t xml:space="preserve"> 25 \ 2 </t>
  </si>
  <si>
    <t>bimby</t>
  </si>
  <si>
    <t>Dyson</t>
  </si>
  <si>
    <t>4 \ 3</t>
  </si>
  <si>
    <t xml:space="preserve">Dia com amigos </t>
  </si>
  <si>
    <t>Filofax pocket</t>
  </si>
  <si>
    <t>11 \ 3</t>
  </si>
  <si>
    <t>27\2</t>
  </si>
  <si>
    <t>copos</t>
  </si>
  <si>
    <t xml:space="preserve">papelaria </t>
  </si>
  <si>
    <t>char GPT</t>
  </si>
  <si>
    <t>18 \ 3</t>
  </si>
  <si>
    <t xml:space="preserve">cofie costa </t>
  </si>
  <si>
    <t xml:space="preserve">Tax Return </t>
  </si>
  <si>
    <t>Prenda Mafdalda</t>
  </si>
  <si>
    <t>Viagem em Maio</t>
  </si>
  <si>
    <t>Viramina D</t>
  </si>
  <si>
    <t>dentist</t>
  </si>
  <si>
    <t>1 \ 4</t>
  </si>
  <si>
    <t>dublin</t>
  </si>
  <si>
    <t>sushi</t>
  </si>
  <si>
    <t>exfoliante</t>
  </si>
  <si>
    <t>8 \ 4</t>
  </si>
  <si>
    <t>Temu</t>
  </si>
  <si>
    <t xml:space="preserve">primark </t>
  </si>
  <si>
    <t>15 \ 4</t>
  </si>
  <si>
    <t xml:space="preserve">Stationary </t>
  </si>
  <si>
    <t>pen</t>
  </si>
  <si>
    <t xml:space="preserve"> 22 \ 4 </t>
  </si>
  <si>
    <t xml:space="preserve"> 29 \ 4 </t>
  </si>
  <si>
    <t>prenda Catarina</t>
  </si>
  <si>
    <t>Malas viagem</t>
  </si>
  <si>
    <t>6 \ 5</t>
  </si>
  <si>
    <t>Ipad</t>
  </si>
  <si>
    <t>13 \ 5</t>
  </si>
  <si>
    <t>Bimby próximo mês (paguei dia 25\5)</t>
  </si>
  <si>
    <t>20 \ 5</t>
  </si>
  <si>
    <t>25\5</t>
  </si>
  <si>
    <t xml:space="preserve">Internet próximo mês </t>
  </si>
  <si>
    <t xml:space="preserve"> 27 \ 5 </t>
  </si>
  <si>
    <t>Ferias</t>
  </si>
  <si>
    <t>LEFT TO SPEND (máx 1500 \ m)</t>
  </si>
  <si>
    <t>3 \ 6</t>
  </si>
  <si>
    <t>Biscoitos \ comida húmida</t>
  </si>
  <si>
    <t>costa</t>
  </si>
  <si>
    <t>Bimby (cookid anual)</t>
  </si>
  <si>
    <t>Vet Bali</t>
  </si>
  <si>
    <t>Piadina</t>
  </si>
  <si>
    <t xml:space="preserve">Book center </t>
  </si>
  <si>
    <t>Gym</t>
  </si>
  <si>
    <t>10 \ 6</t>
  </si>
  <si>
    <t>Bowl Bali para comida</t>
  </si>
  <si>
    <t xml:space="preserve">Piadina </t>
  </si>
  <si>
    <t xml:space="preserve">Nitendo </t>
  </si>
  <si>
    <t>Comida Bali</t>
  </si>
  <si>
    <t xml:space="preserve">Pizza em casa </t>
  </si>
  <si>
    <t>Aliexpress</t>
  </si>
  <si>
    <t>17 \ 6</t>
  </si>
  <si>
    <t>café</t>
  </si>
  <si>
    <t>Spotify</t>
  </si>
  <si>
    <t>t-shirt nova</t>
  </si>
  <si>
    <t>apple storage</t>
  </si>
  <si>
    <t xml:space="preserve"> 24 \ 6 </t>
  </si>
  <si>
    <t>Nitendo jogo</t>
  </si>
  <si>
    <t>Claude (IA)</t>
  </si>
  <si>
    <t>4\6</t>
  </si>
  <si>
    <t>Meus pais</t>
  </si>
  <si>
    <t>Férias de Maio</t>
  </si>
  <si>
    <t>Portagens</t>
  </si>
  <si>
    <t>1 \ 7</t>
  </si>
  <si>
    <t>Dunmore bar</t>
  </si>
  <si>
    <t>Vinho adega</t>
  </si>
  <si>
    <t>Produtos cabelo</t>
  </si>
  <si>
    <t>Bimby</t>
  </si>
  <si>
    <t>8 \ 7</t>
  </si>
  <si>
    <t>Apple storage</t>
  </si>
  <si>
    <t>15 \ 7</t>
  </si>
  <si>
    <t>Netflix</t>
  </si>
  <si>
    <t>22 \ 7</t>
  </si>
  <si>
    <t>29 \ 7</t>
  </si>
  <si>
    <t>Café</t>
  </si>
  <si>
    <t>Car Wash</t>
  </si>
  <si>
    <t>5 \ 8</t>
  </si>
  <si>
    <t>12 \ 8</t>
  </si>
  <si>
    <t>19 \ 8</t>
  </si>
  <si>
    <t>26 \ 8</t>
  </si>
  <si>
    <t>Férias ao Cartão Universo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</si>
  <si>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</si>
  <si>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</si>
  <si>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</si>
  <si>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</si>
  <si>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</si>
  <si>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</si>
  <si>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</si>
  <si>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</si>
  <si>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</si>
  <si>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</si>
  <si>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</si>
  <si>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</si>
  <si>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ANUAL 2026</t>
  </si>
  <si>
    <t xml:space="preserve">Total </t>
  </si>
  <si>
    <t>% das despesas</t>
  </si>
  <si>
    <t>Média</t>
  </si>
  <si>
    <t>RENT</t>
  </si>
  <si>
    <t>TRANSPOSTATION</t>
  </si>
  <si>
    <t>VETERINARY</t>
  </si>
  <si>
    <t xml:space="preserve">SHOPPING HOME </t>
  </si>
  <si>
    <t>SHOPPING PERSONAL</t>
  </si>
  <si>
    <t>SUBSCRIPTIONS</t>
  </si>
  <si>
    <t xml:space="preserve">PROJECTS </t>
  </si>
  <si>
    <t>TOTAL DESPESAS</t>
  </si>
  <si>
    <t>ORDENADO BRUTO</t>
  </si>
  <si>
    <t>ORDENADO LÍQUIDO</t>
  </si>
  <si>
    <t>DIFERENÇA (despesas vs ordenado líquido)</t>
  </si>
  <si>
    <t>REAL SAFE</t>
  </si>
  <si>
    <t>MISSING FROM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</si>
</sst>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€&quot;"/>
    <numFmt numFmtId="165" formatCode="[$€-83C]#,##0.00"/>
    <numFmt numFmtId="166" formatCode="_([$€-2]\ * #,##0.00_);_([$€-2]\ * \(#,##0.00\);_([$€-2]\ * &quot;-&quot;??_);_(@_)"/>
    <numFmt numFmtId="167" formatCode="_ * #,##0.00_)\ &quot;€&quot;_ ;_ * \(#,##0.00\)\ &quot;€&quot;_ ;_ * &quot;-&quot;??_)\ &quot;€&quot;_ ;_ @_ "/>
    <numFmt numFmtId="168" formatCode="_-[$€-2]\ * #,##0.00_-;\-[$€-2]\ * #,##0.00_-;_-[$€-2]\ * &quot;-&quot;??_-;_-@_-"/>
    <numFmt numFmtId="169" formatCode="#,##0.00\ [$€-816]"/>
  </numFmts>
  <fonts count="1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242424"/>
      <name val="Aptos Narrow"/>
      <family val="2"/>
      <charset val="1"/>
    </font>
    <font>
      <b/>
      <sz val="12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b/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48">
    <xf numFmtId="0" fontId="0" fillId="0" borderId="0" xfId="0"/>
    <xf numFmtId="164" fontId="3" fillId="2" borderId="8" xfId="1" applyNumberFormat="1" applyFont="1" applyFill="1" applyBorder="1" applyAlignment="1">
      <alignment horizontal="center" vertical="center" wrapText="1"/>
    </xf>
    <xf numFmtId="10" fontId="3" fillId="2" borderId="0" xfId="1" applyNumberFormat="1" applyFont="1" applyFill="1" applyAlignment="1">
      <alignment horizontal="center" vertical="center" wrapText="1"/>
    </xf>
    <xf numFmtId="10" fontId="3" fillId="2" borderId="9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4" fontId="3" fillId="2" borderId="10" xfId="1" applyNumberFormat="1" applyFont="1" applyFill="1" applyBorder="1" applyAlignment="1">
      <alignment horizontal="center" vertical="center" wrapText="1"/>
    </xf>
    <xf numFmtId="10" fontId="3" fillId="2" borderId="11" xfId="1" applyNumberFormat="1" applyFont="1" applyFill="1" applyBorder="1" applyAlignment="1">
      <alignment horizontal="center" vertical="center" wrapText="1"/>
    </xf>
    <xf numFmtId="10" fontId="3" fillId="2" borderId="12" xfId="1" applyNumberFormat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vertical="center" wrapText="1"/>
    </xf>
    <xf numFmtId="165" fontId="0" fillId="2" borderId="18" xfId="2" applyNumberFormat="1" applyFont="1" applyFill="1" applyBorder="1" applyAlignment="1"/>
    <xf numFmtId="0" fontId="2" fillId="0" borderId="21" xfId="1" applyFont="1" applyBorder="1"/>
    <xf numFmtId="165" fontId="0" fillId="0" borderId="18" xfId="2" applyNumberFormat="1" applyFont="1" applyFill="1" applyBorder="1" applyAlignment="1"/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17" fontId="7" fillId="0" borderId="0" xfId="0" applyNumberFormat="1" applyFont="1" applyAlignment="1">
      <alignment horizontal="center"/>
    </xf>
    <xf numFmtId="164" fontId="5" fillId="0" borderId="0" xfId="0" applyNumberFormat="1" applyFont="1"/>
    <xf numFmtId="164" fontId="7" fillId="0" borderId="0" xfId="0" applyNumberFormat="1" applyFont="1" applyAlignment="1">
      <alignment horizontal="center"/>
    </xf>
    <xf numFmtId="167" fontId="5" fillId="0" borderId="0" xfId="0" applyNumberFormat="1" applyFont="1"/>
    <xf numFmtId="167" fontId="5" fillId="0" borderId="0" xfId="0" applyNumberFormat="1" applyFont="1" applyAlignment="1">
      <alignment horizontal="right"/>
    </xf>
    <xf numFmtId="9" fontId="0" fillId="0" borderId="0" xfId="0" applyNumberFormat="1"/>
    <xf numFmtId="0" fontId="4" fillId="0" borderId="0" xfId="0" applyFont="1"/>
    <xf numFmtId="166" fontId="5" fillId="0" borderId="9" xfId="0" applyNumberFormat="1" applyFont="1" applyBorder="1"/>
    <xf numFmtId="0" fontId="7" fillId="0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 applyAlignment="1"/>
    <xf numFmtId="166" fontId="7" fillId="0" borderId="0" xfId="0" applyNumberFormat="1" applyFont="1" applyBorder="1" applyAlignment="1">
      <alignment horizontal="center"/>
    </xf>
    <xf numFmtId="0" fontId="9" fillId="0" borderId="0" xfId="0" applyFont="1" applyBorder="1" applyAlignment="1"/>
    <xf numFmtId="164" fontId="7" fillId="0" borderId="8" xfId="0" applyNumberFormat="1" applyFont="1" applyBorder="1"/>
    <xf numFmtId="164" fontId="7" fillId="0" borderId="0" xfId="0" applyNumberFormat="1" applyFont="1" applyBorder="1" applyAlignment="1">
      <alignment horizontal="center" vertical="center"/>
    </xf>
    <xf numFmtId="164" fontId="5" fillId="0" borderId="8" xfId="0" applyNumberFormat="1" applyFont="1" applyBorder="1"/>
    <xf numFmtId="164" fontId="5" fillId="0" borderId="0" xfId="0" applyNumberFormat="1" applyFont="1" applyBorder="1"/>
    <xf numFmtId="164" fontId="7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167" fontId="5" fillId="0" borderId="8" xfId="0" applyNumberFormat="1" applyFont="1" applyBorder="1" applyAlignment="1">
      <alignment horizontal="center"/>
    </xf>
    <xf numFmtId="167" fontId="5" fillId="0" borderId="0" xfId="0" applyNumberFormat="1" applyFont="1" applyBorder="1"/>
    <xf numFmtId="167" fontId="5" fillId="0" borderId="8" xfId="0" applyNumberFormat="1" applyFont="1" applyBorder="1"/>
    <xf numFmtId="0" fontId="5" fillId="0" borderId="8" xfId="0" applyFont="1" applyBorder="1"/>
    <xf numFmtId="0" fontId="0" fillId="0" borderId="0" xfId="0" applyBorder="1"/>
    <xf numFmtId="164" fontId="7" fillId="0" borderId="8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164" fontId="7" fillId="0" borderId="8" xfId="0" applyNumberFormat="1" applyFont="1" applyBorder="1" applyAlignment="1">
      <alignment horizontal="center"/>
    </xf>
    <xf numFmtId="166" fontId="5" fillId="0" borderId="8" xfId="0" applyNumberFormat="1" applyFont="1" applyBorder="1"/>
    <xf numFmtId="0" fontId="7" fillId="0" borderId="8" xfId="0" applyFont="1" applyBorder="1"/>
    <xf numFmtId="0" fontId="7" fillId="0" borderId="8" xfId="0" applyFont="1" applyBorder="1" applyAlignment="1"/>
    <xf numFmtId="0" fontId="9" fillId="0" borderId="8" xfId="0" applyFont="1" applyBorder="1" applyAlignment="1"/>
    <xf numFmtId="168" fontId="5" fillId="0" borderId="0" xfId="0" applyNumberFormat="1" applyFont="1" applyBorder="1" applyAlignment="1">
      <alignment horizontal="right"/>
    </xf>
    <xf numFmtId="168" fontId="0" fillId="0" borderId="0" xfId="0" applyNumberFormat="1" applyBorder="1"/>
    <xf numFmtId="168" fontId="7" fillId="0" borderId="0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horizontal="center"/>
    </xf>
    <xf numFmtId="168" fontId="5" fillId="0" borderId="0" xfId="0" applyNumberFormat="1" applyFont="1" applyBorder="1"/>
    <xf numFmtId="168" fontId="7" fillId="0" borderId="0" xfId="0" applyNumberFormat="1" applyFont="1" applyBorder="1" applyAlignment="1"/>
    <xf numFmtId="168" fontId="5" fillId="0" borderId="9" xfId="0" applyNumberFormat="1" applyFont="1" applyBorder="1"/>
    <xf numFmtId="168" fontId="7" fillId="0" borderId="9" xfId="0" applyNumberFormat="1" applyFont="1" applyBorder="1" applyAlignment="1"/>
    <xf numFmtId="168" fontId="5" fillId="0" borderId="9" xfId="0" applyNumberFormat="1" applyFont="1" applyBorder="1" applyAlignment="1">
      <alignment horizontal="right"/>
    </xf>
    <xf numFmtId="168" fontId="9" fillId="0" borderId="9" xfId="0" applyNumberFormat="1" applyFont="1" applyBorder="1" applyAlignment="1"/>
    <xf numFmtId="0" fontId="5" fillId="4" borderId="0" xfId="0" applyFont="1" applyFill="1" applyBorder="1"/>
    <xf numFmtId="168" fontId="5" fillId="4" borderId="0" xfId="0" applyNumberFormat="1" applyFont="1" applyFill="1" applyBorder="1" applyAlignment="1">
      <alignment horizontal="right"/>
    </xf>
    <xf numFmtId="166" fontId="5" fillId="3" borderId="20" xfId="0" applyNumberFormat="1" applyFont="1" applyFill="1" applyBorder="1"/>
    <xf numFmtId="0" fontId="6" fillId="0" borderId="0" xfId="0" applyFont="1" applyBorder="1" applyAlignment="1">
      <alignment horizontal="center"/>
    </xf>
    <xf numFmtId="167" fontId="5" fillId="0" borderId="0" xfId="0" applyNumberFormat="1" applyFont="1" applyBorder="1" applyAlignment="1">
      <alignment horizontal="center"/>
    </xf>
    <xf numFmtId="0" fontId="7" fillId="6" borderId="1" xfId="0" applyFont="1" applyFill="1" applyBorder="1"/>
    <xf numFmtId="166" fontId="5" fillId="6" borderId="3" xfId="0" applyNumberFormat="1" applyFont="1" applyFill="1" applyBorder="1"/>
    <xf numFmtId="0" fontId="7" fillId="5" borderId="8" xfId="0" applyFont="1" applyFill="1" applyBorder="1"/>
    <xf numFmtId="166" fontId="5" fillId="5" borderId="9" xfId="0" applyNumberFormat="1" applyFont="1" applyFill="1" applyBorder="1"/>
    <xf numFmtId="0" fontId="7" fillId="4" borderId="8" xfId="0" applyFont="1" applyFill="1" applyBorder="1"/>
    <xf numFmtId="166" fontId="5" fillId="4" borderId="9" xfId="0" applyNumberFormat="1" applyFont="1" applyFill="1" applyBorder="1"/>
    <xf numFmtId="0" fontId="7" fillId="3" borderId="19" xfId="0" applyFont="1" applyFill="1" applyBorder="1"/>
    <xf numFmtId="0" fontId="5" fillId="4" borderId="19" xfId="0" applyFont="1" applyFill="1" applyBorder="1"/>
    <xf numFmtId="166" fontId="5" fillId="4" borderId="20" xfId="0" applyNumberFormat="1" applyFont="1" applyFill="1" applyBorder="1"/>
    <xf numFmtId="164" fontId="5" fillId="0" borderId="0" xfId="0" applyNumberFormat="1" applyFont="1" applyBorder="1" applyAlignment="1">
      <alignment horizontal="right"/>
    </xf>
    <xf numFmtId="168" fontId="5" fillId="4" borderId="33" xfId="0" applyNumberFormat="1" applyFont="1" applyFill="1" applyBorder="1" applyAlignment="1">
      <alignment horizontal="right"/>
    </xf>
    <xf numFmtId="0" fontId="0" fillId="0" borderId="8" xfId="0" applyFont="1" applyBorder="1" applyAlignment="1">
      <alignment horizontal="left"/>
    </xf>
    <xf numFmtId="0" fontId="2" fillId="6" borderId="13" xfId="1" applyFont="1" applyFill="1" applyBorder="1" applyAlignment="1">
      <alignment wrapText="1"/>
    </xf>
    <xf numFmtId="164" fontId="1" fillId="6" borderId="7" xfId="2" applyNumberFormat="1" applyFont="1" applyFill="1" applyBorder="1" applyAlignment="1">
      <alignment horizontal="right" wrapText="1"/>
    </xf>
    <xf numFmtId="10" fontId="1" fillId="6" borderId="14" xfId="2" applyNumberFormat="1" applyFont="1" applyFill="1" applyBorder="1" applyAlignment="1">
      <alignment horizontal="right" wrapText="1"/>
    </xf>
    <xf numFmtId="10" fontId="1" fillId="6" borderId="15" xfId="2" applyNumberFormat="1" applyFont="1" applyFill="1" applyBorder="1" applyAlignment="1">
      <alignment horizontal="right" wrapText="1"/>
    </xf>
    <xf numFmtId="164" fontId="1" fillId="6" borderId="16" xfId="2" applyNumberFormat="1" applyFont="1" applyFill="1" applyBorder="1" applyAlignment="1">
      <alignment horizontal="right" wrapText="1"/>
    </xf>
    <xf numFmtId="164" fontId="1" fillId="6" borderId="17" xfId="1" applyNumberFormat="1" applyFill="1" applyBorder="1"/>
    <xf numFmtId="10" fontId="0" fillId="6" borderId="16" xfId="2" applyNumberFormat="1" applyFont="1" applyFill="1" applyBorder="1" applyAlignment="1"/>
    <xf numFmtId="165" fontId="0" fillId="6" borderId="18" xfId="2" applyNumberFormat="1" applyFont="1" applyFill="1" applyBorder="1" applyAlignment="1"/>
    <xf numFmtId="0" fontId="2" fillId="6" borderId="21" xfId="1" applyFont="1" applyFill="1" applyBorder="1" applyAlignment="1">
      <alignment wrapText="1"/>
    </xf>
    <xf numFmtId="164" fontId="1" fillId="6" borderId="14" xfId="2" applyNumberFormat="1" applyFont="1" applyFill="1" applyBorder="1" applyAlignment="1">
      <alignment horizontal="right" wrapText="1"/>
    </xf>
    <xf numFmtId="0" fontId="2" fillId="6" borderId="24" xfId="1" applyFont="1" applyFill="1" applyBorder="1" applyAlignment="1">
      <alignment wrapText="1"/>
    </xf>
    <xf numFmtId="0" fontId="2" fillId="7" borderId="24" xfId="1" applyFont="1" applyFill="1" applyBorder="1" applyAlignment="1">
      <alignment wrapText="1"/>
    </xf>
    <xf numFmtId="164" fontId="1" fillId="7" borderId="16" xfId="2" applyNumberFormat="1" applyFont="1" applyFill="1" applyBorder="1" applyAlignment="1">
      <alignment horizontal="right" wrapText="1"/>
    </xf>
    <xf numFmtId="10" fontId="1" fillId="7" borderId="14" xfId="2" applyNumberFormat="1" applyFont="1" applyFill="1" applyBorder="1" applyAlignment="1">
      <alignment horizontal="right" wrapText="1"/>
    </xf>
    <xf numFmtId="164" fontId="1" fillId="7" borderId="7" xfId="2" applyNumberFormat="1" applyFont="1" applyFill="1" applyBorder="1" applyAlignment="1">
      <alignment horizontal="right" wrapText="1"/>
    </xf>
    <xf numFmtId="10" fontId="1" fillId="7" borderId="15" xfId="2" applyNumberFormat="1" applyFont="1" applyFill="1" applyBorder="1" applyAlignment="1">
      <alignment horizontal="right" wrapText="1"/>
    </xf>
    <xf numFmtId="164" fontId="1" fillId="7" borderId="17" xfId="1" applyNumberFormat="1" applyFill="1" applyBorder="1"/>
    <xf numFmtId="10" fontId="0" fillId="7" borderId="16" xfId="2" applyNumberFormat="1" applyFont="1" applyFill="1" applyBorder="1" applyAlignment="1"/>
    <xf numFmtId="165" fontId="0" fillId="7" borderId="18" xfId="2" applyNumberFormat="1" applyFont="1" applyFill="1" applyBorder="1" applyAlignment="1"/>
    <xf numFmtId="164" fontId="1" fillId="7" borderId="14" xfId="2" applyNumberFormat="1" applyFont="1" applyFill="1" applyBorder="1" applyAlignment="1">
      <alignment horizontal="right" wrapText="1"/>
    </xf>
    <xf numFmtId="168" fontId="0" fillId="0" borderId="0" xfId="0" applyNumberFormat="1" applyFont="1" applyBorder="1" applyAlignment="1">
      <alignment horizontal="center"/>
    </xf>
    <xf numFmtId="168" fontId="5" fillId="4" borderId="34" xfId="0" applyNumberFormat="1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164" fontId="5" fillId="0" borderId="9" xfId="0" applyNumberFormat="1" applyFont="1" applyBorder="1" applyAlignment="1">
      <alignment horizontal="right"/>
    </xf>
    <xf numFmtId="0" fontId="0" fillId="0" borderId="8" xfId="0" applyBorder="1"/>
    <xf numFmtId="0" fontId="5" fillId="0" borderId="8" xfId="0" applyFont="1" applyFill="1" applyBorder="1"/>
    <xf numFmtId="168" fontId="5" fillId="0" borderId="0" xfId="0" applyNumberFormat="1" applyFont="1" applyFill="1" applyBorder="1"/>
    <xf numFmtId="0" fontId="0" fillId="0" borderId="24" xfId="0" applyBorder="1"/>
    <xf numFmtId="0" fontId="4" fillId="0" borderId="35" xfId="0" applyFont="1" applyBorder="1"/>
    <xf numFmtId="165" fontId="0" fillId="0" borderId="12" xfId="2" applyNumberFormat="1" applyFont="1" applyFill="1" applyBorder="1" applyAlignment="1"/>
    <xf numFmtId="0" fontId="2" fillId="0" borderId="46" xfId="1" applyFont="1" applyFill="1" applyBorder="1" applyAlignment="1">
      <alignment vertical="center" wrapText="1"/>
    </xf>
    <xf numFmtId="166" fontId="5" fillId="0" borderId="0" xfId="0" applyNumberFormat="1" applyFont="1" applyBorder="1" applyAlignment="1">
      <alignment horizontal="right"/>
    </xf>
    <xf numFmtId="166" fontId="5" fillId="0" borderId="8" xfId="0" applyNumberFormat="1" applyFont="1" applyFill="1" applyBorder="1"/>
    <xf numFmtId="168" fontId="5" fillId="0" borderId="0" xfId="0" applyNumberFormat="1" applyFont="1" applyBorder="1" applyAlignment="1"/>
    <xf numFmtId="166" fontId="5" fillId="8" borderId="8" xfId="0" applyNumberFormat="1" applyFont="1" applyFill="1" applyBorder="1"/>
    <xf numFmtId="168" fontId="5" fillId="8" borderId="0" xfId="0" applyNumberFormat="1" applyFont="1" applyFill="1" applyBorder="1"/>
    <xf numFmtId="0" fontId="5" fillId="8" borderId="0" xfId="0" applyFont="1" applyFill="1" applyBorder="1"/>
    <xf numFmtId="0" fontId="5" fillId="0" borderId="8" xfId="0" applyNumberFormat="1" applyFont="1" applyBorder="1" applyAlignment="1">
      <alignment horizontal="right"/>
    </xf>
    <xf numFmtId="0" fontId="12" fillId="0" borderId="8" xfId="0" applyNumberFormat="1" applyFont="1" applyBorder="1" applyAlignment="1">
      <alignment horizontal="right"/>
    </xf>
    <xf numFmtId="0" fontId="7" fillId="0" borderId="8" xfId="0" applyNumberFormat="1" applyFont="1" applyBorder="1" applyAlignment="1">
      <alignment horizontal="right"/>
    </xf>
    <xf numFmtId="0" fontId="5" fillId="0" borderId="0" xfId="0" applyNumberFormat="1" applyFont="1" applyBorder="1" applyAlignment="1">
      <alignment horizontal="right"/>
    </xf>
    <xf numFmtId="0" fontId="0" fillId="9" borderId="0" xfId="0" applyFill="1"/>
    <xf numFmtId="169" fontId="0" fillId="9" borderId="0" xfId="0" applyNumberFormat="1" applyFill="1"/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13" fillId="0" borderId="0" xfId="0" applyFont="1"/>
    <xf numFmtId="164" fontId="5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8" fontId="0" fillId="0" borderId="0" xfId="0" applyNumberFormat="1"/>
    <xf numFmtId="168" fontId="5" fillId="0" borderId="0" xfId="0" applyNumberFormat="1" applyFont="1"/>
    <xf numFmtId="168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8" fontId="7" fillId="0" borderId="0" xfId="0" applyNumberFormat="1" applyFont="1"/>
    <xf numFmtId="168" fontId="7" fillId="0" borderId="9" xfId="0" applyNumberFormat="1" applyFont="1" applyBorder="1"/>
    <xf numFmtId="167" fontId="5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right"/>
    </xf>
    <xf numFmtId="0" fontId="13" fillId="0" borderId="8" xfId="0" applyFont="1" applyBorder="1"/>
    <xf numFmtId="168" fontId="13" fillId="0" borderId="9" xfId="0" applyNumberFormat="1" applyFont="1" applyBorder="1"/>
    <xf numFmtId="0" fontId="5" fillId="4" borderId="0" xfId="0" applyFont="1" applyFill="1"/>
    <xf numFmtId="168" fontId="5" fillId="4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Fill="1"/>
    <xf numFmtId="169" fontId="0" fillId="0" borderId="0" xfId="0" applyNumberFormat="1" applyFill="1"/>
    <xf numFmtId="0" fontId="5" fillId="0" borderId="8" xfId="0" applyFont="1" applyBorder="1" applyAlignment="1"/>
    <xf numFmtId="167" fontId="5" fillId="0" borderId="8" xfId="0" applyNumberFormat="1" applyFont="1" applyBorder="1" applyAlignment="1">
      <alignment vertical="center"/>
    </xf>
    <xf numFmtId="164" fontId="5" fillId="0" borderId="0" xfId="0" applyNumberFormat="1" applyFont="1" applyBorder="1" applyAlignment="1"/>
    <xf numFmtId="167" fontId="5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165" fontId="10" fillId="4" borderId="27" xfId="0" applyNumberFormat="1" applyFont="1" applyFill="1" applyBorder="1" applyAlignment="1">
      <alignment horizontal="center"/>
    </xf>
    <xf numFmtId="165" fontId="10" fillId="4" borderId="20" xfId="0" applyNumberFormat="1" applyFont="1" applyFill="1" applyBorder="1" applyAlignment="1">
      <alignment horizontal="center"/>
    </xf>
    <xf numFmtId="168" fontId="5" fillId="5" borderId="19" xfId="0" applyNumberFormat="1" applyFont="1" applyFill="1" applyBorder="1" applyAlignment="1">
      <alignment horizontal="center"/>
    </xf>
    <xf numFmtId="168" fontId="5" fillId="5" borderId="27" xfId="0" applyNumberFormat="1" applyFont="1" applyFill="1" applyBorder="1" applyAlignment="1">
      <alignment horizontal="center"/>
    </xf>
    <xf numFmtId="168" fontId="5" fillId="5" borderId="20" xfId="0" applyNumberFormat="1" applyFont="1" applyFill="1" applyBorder="1" applyAlignment="1">
      <alignment horizontal="center"/>
    </xf>
    <xf numFmtId="164" fontId="7" fillId="6" borderId="27" xfId="0" applyNumberFormat="1" applyFont="1" applyFill="1" applyBorder="1" applyAlignment="1">
      <alignment horizontal="center"/>
    </xf>
    <xf numFmtId="164" fontId="7" fillId="5" borderId="19" xfId="0" applyNumberFormat="1" applyFont="1" applyFill="1" applyBorder="1" applyAlignment="1">
      <alignment horizontal="center"/>
    </xf>
    <xf numFmtId="164" fontId="7" fillId="5" borderId="27" xfId="0" applyNumberFormat="1" applyFont="1" applyFill="1" applyBorder="1" applyAlignment="1">
      <alignment horizontal="center"/>
    </xf>
    <xf numFmtId="164" fontId="7" fillId="5" borderId="20" xfId="0" applyNumberFormat="1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165" fontId="8" fillId="4" borderId="2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168" fontId="5" fillId="6" borderId="27" xfId="0" applyNumberFormat="1" applyFont="1" applyFill="1" applyBorder="1" applyAlignment="1">
      <alignment horizontal="center"/>
    </xf>
    <xf numFmtId="168" fontId="5" fillId="6" borderId="19" xfId="0" applyNumberFormat="1" applyFont="1" applyFill="1" applyBorder="1" applyAlignment="1">
      <alignment horizontal="center"/>
    </xf>
    <xf numFmtId="168" fontId="5" fillId="6" borderId="20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1" fillId="0" borderId="8" xfId="3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67" fontId="5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164" fontId="7" fillId="4" borderId="1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4" borderId="19" xfId="0" applyNumberFormat="1" applyFont="1" applyFill="1" applyBorder="1" applyAlignment="1">
      <alignment horizontal="center" vertical="center"/>
    </xf>
    <xf numFmtId="164" fontId="7" fillId="4" borderId="27" xfId="0" applyNumberFormat="1" applyFont="1" applyFill="1" applyBorder="1" applyAlignment="1">
      <alignment horizontal="center" vertical="center"/>
    </xf>
    <xf numFmtId="164" fontId="7" fillId="4" borderId="20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17" fontId="7" fillId="6" borderId="25" xfId="0" applyNumberFormat="1" applyFont="1" applyFill="1" applyBorder="1" applyAlignment="1">
      <alignment horizontal="center"/>
    </xf>
    <xf numFmtId="17" fontId="7" fillId="6" borderId="31" xfId="0" applyNumberFormat="1" applyFont="1" applyFill="1" applyBorder="1" applyAlignment="1">
      <alignment horizontal="center"/>
    </xf>
    <xf numFmtId="17" fontId="7" fillId="6" borderId="26" xfId="0" applyNumberFormat="1" applyFont="1" applyFill="1" applyBorder="1" applyAlignment="1">
      <alignment horizontal="center"/>
    </xf>
    <xf numFmtId="17" fontId="7" fillId="5" borderId="32" xfId="0" applyNumberFormat="1" applyFont="1" applyFill="1" applyBorder="1" applyAlignment="1">
      <alignment horizontal="center"/>
    </xf>
    <xf numFmtId="17" fontId="7" fillId="5" borderId="31" xfId="0" applyNumberFormat="1" applyFont="1" applyFill="1" applyBorder="1" applyAlignment="1">
      <alignment horizontal="center"/>
    </xf>
    <xf numFmtId="17" fontId="7" fillId="5" borderId="12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1" fillId="0" borderId="8" xfId="3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67" fontId="11" fillId="0" borderId="8" xfId="3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44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0" fillId="0" borderId="49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1" fillId="0" borderId="21" xfId="1" applyNumberFormat="1" applyBorder="1" applyAlignment="1">
      <alignment horizontal="center"/>
    </xf>
    <xf numFmtId="164" fontId="1" fillId="0" borderId="22" xfId="1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1" fillId="0" borderId="23" xfId="1" applyNumberFormat="1" applyBorder="1" applyAlignment="1">
      <alignment horizontal="center"/>
    </xf>
    <xf numFmtId="0" fontId="0" fillId="0" borderId="0" xfId="0" applyAlignment="1">
      <alignment horizont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6" xfId="1" applyNumberFormat="1" applyFont="1" applyFill="1" applyBorder="1" applyAlignment="1">
      <alignment horizontal="center" vertical="center" wrapText="1"/>
    </xf>
    <xf numFmtId="17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164" fontId="1" fillId="0" borderId="13" xfId="1" applyNumberFormat="1" applyFont="1" applyFill="1" applyBorder="1" applyAlignment="1">
      <alignment horizontal="center" vertical="center" wrapText="1"/>
    </xf>
    <xf numFmtId="164" fontId="1" fillId="0" borderId="52" xfId="1" applyNumberFormat="1" applyFont="1" applyFill="1" applyBorder="1" applyAlignment="1">
      <alignment horizontal="center" vertical="center" wrapText="1"/>
    </xf>
    <xf numFmtId="164" fontId="1" fillId="0" borderId="51" xfId="1" applyNumberFormat="1" applyFont="1" applyFill="1" applyBorder="1" applyAlignment="1">
      <alignment horizontal="center" vertical="center" wrapText="1"/>
    </xf>
    <xf numFmtId="164" fontId="1" fillId="0" borderId="53" xfId="1" applyNumberFormat="1" applyFont="1" applyFill="1" applyBorder="1" applyAlignment="1">
      <alignment horizontal="center" vertical="center" wrapText="1"/>
    </xf>
    <xf numFmtId="164" fontId="0" fillId="0" borderId="51" xfId="0" applyNumberFormat="1" applyFont="1" applyFill="1" applyBorder="1" applyAlignment="1">
      <alignment horizontal="center"/>
    </xf>
    <xf numFmtId="164" fontId="0" fillId="0" borderId="52" xfId="0" applyNumberFormat="1" applyFont="1" applyFill="1" applyBorder="1" applyAlignment="1">
      <alignment horizontal="center"/>
    </xf>
  </cellXfs>
  <cellStyles count="4">
    <cellStyle name="Hyperlink" xfId="3" xr:uid="{00000000-000B-0000-0000-000008000000}"/>
    <cellStyle name="Normal" xfId="0" builtinId="0"/>
    <cellStyle name="Normal 2" xfId="1" xr:uid="{CC3EC933-D2B0-47E0-A149-958EBB9339F5}"/>
    <cellStyle name="Percentagem 2" xfId="2" xr:uid="{4E28B636-3CE5-4FBB-BFA3-D874B6CA405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AU_fRIyqp5SYVwFXw2Y_haASFTtPub2gChDChl9bkH2M8?e=GQtHCl" TargetMode="External"/><Relationship Id="rId2" Type="http://schemas.openxmlformats.org/officeDocument/2006/relationships/hyperlink" Target="https://1drv.ms/b/c/5b8eb9676f6d6732/IQDU6bh7JzT2TZ-F5ZlecTReAQKeH9K8ISMzgY3UHuoZ_6Y?e=EW9ixR" TargetMode="External"/><Relationship Id="rId1" Type="http://schemas.openxmlformats.org/officeDocument/2006/relationships/hyperlink" Target="https://1drv.ms/b/c/5b8eb9676f6d6732/IQATw-eoY-hmQKOtD8dQ_t2kAWz484b2rpWQH02tQG1EOUs?e=AbnPt0" TargetMode="External"/><Relationship Id="rId4" Type="http://schemas.openxmlformats.org/officeDocument/2006/relationships/hyperlink" Target="https://1drv.ms/b/c/5b8eb9676f6d6732/IQB5Zw7ZqKLtQYOlnjiO2VetAaGWx83GUbNeL2XhHYwx1fo?e=Ibw4jZ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Dlx4ZnP9UUQ67HkszHFBoNASuxFh7NTeE3Mc3zqUPCkqs?e=SREVrC" TargetMode="External"/><Relationship Id="rId2" Type="http://schemas.openxmlformats.org/officeDocument/2006/relationships/hyperlink" Target="https://1drv.ms/b/c/5b8eb9676f6d6732/IQB029jFLkR4QZMWDoEqfnlxAZPO_UR8TDxY36d5J1LP8fw?e=ciXghy" TargetMode="External"/><Relationship Id="rId1" Type="http://schemas.openxmlformats.org/officeDocument/2006/relationships/hyperlink" Target="https://1drv.ms/b/c/5b8eb9676f6d6732/IQDFbqEBXQdvQYMVbHnp0QdmAXIJN-ix8yGOjC_1hG44NOw?e=58wVgk" TargetMode="External"/><Relationship Id="rId4" Type="http://schemas.openxmlformats.org/officeDocument/2006/relationships/hyperlink" Target="https://1drv.ms/b/c/5b8eb9676f6d6732/IQD0AhO3XJDJR5XMnOsvnqgpATTVbwoo0EO-ZrTcUeQs0pU?e=8TQ3s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Csexs-7wYiRpFUB855XL5aAajFFrADYG7SQJcCRrpjLE4?e=ltEcLE" TargetMode="External"/><Relationship Id="rId2" Type="http://schemas.openxmlformats.org/officeDocument/2006/relationships/hyperlink" Target="https://1drv.ms/b/c/5b8eb9676f6d6732/IQCevbKg6D4lSIPG7X3bKp17AZscU2ccYp7UizAejv0U_Tw?e=En0apK" TargetMode="External"/><Relationship Id="rId1" Type="http://schemas.openxmlformats.org/officeDocument/2006/relationships/hyperlink" Target="https://1drv.ms/b/c/5b8eb9676f6d6732/IQCcGivea_ZfS5xVHZRCwMk7AcErfprWarp-PRga3g_mas0?e=xYHAGM" TargetMode="External"/><Relationship Id="rId4" Type="http://schemas.openxmlformats.org/officeDocument/2006/relationships/hyperlink" Target="https://1drv.ms/b/c/5b8eb9676f6d6732/IQCQPIlWVqgER52nwkmOez5iAebqrDVrIUFjmlniZ3Tfci4?e=ixTTf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BKlH6UY6yAQaRvEIPCIPsJAVXmznK-2JQsYR4h1Rba0IU?e=xF6Rdf" TargetMode="External"/><Relationship Id="rId2" Type="http://schemas.openxmlformats.org/officeDocument/2006/relationships/hyperlink" Target="https://1drv.ms/b/c/5b8eb9676f6d6732/IQBqjghz4swCQpgIgrsPtyhFASRtKHI8vGwM78O0e70ro0M?e=IU1EKm" TargetMode="External"/><Relationship Id="rId1" Type="http://schemas.openxmlformats.org/officeDocument/2006/relationships/hyperlink" Target="https://1drv.ms/b/c/5b8eb9676f6d6732/IQBsj2E4pJEKRrUMeJVfIpH2AQm1gc4XmJPoGJHbTn9GbF8?e=RyYu6A" TargetMode="External"/><Relationship Id="rId5" Type="http://schemas.openxmlformats.org/officeDocument/2006/relationships/hyperlink" Target="https://1drv.ms/b/c/5b8eb9676f6d6732/IQCsRsPkRVhSSaThf9RwF4epAZWFca-PAirM82oe8cv30HQ?e=TzJFEP" TargetMode="External"/><Relationship Id="rId4" Type="http://schemas.openxmlformats.org/officeDocument/2006/relationships/hyperlink" Target="https://1drv.ms/b/c/5b8eb9676f6d6732/IQCA66wkxpyCSIALD-v_ZBP_Ad-EavLdEYFb0hVSrksryrU?e=VbaXwB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BE-JmrW5t_QI41quYQV4L0ATyPX7EoCTkvhKh7t8D4hU4?e=dPPj91" TargetMode="External"/><Relationship Id="rId2" Type="http://schemas.openxmlformats.org/officeDocument/2006/relationships/hyperlink" Target="https://1drv.ms/b/c/5b8eb9676f6d6732/IQDwk6_GZNO_RZJE6fXh2TBDAfGUqhpIHnOIiuIYpN8jO5k?e=6jXjk6" TargetMode="External"/><Relationship Id="rId1" Type="http://schemas.openxmlformats.org/officeDocument/2006/relationships/hyperlink" Target="https://1drv.ms/b/c/5b8eb9676f6d6732/IQD8yXPBGsYFSqoqcz1QMd7HAeDN4GaMBPLj1IXkzBS06lU?e=m9tgHA" TargetMode="External"/><Relationship Id="rId4" Type="http://schemas.openxmlformats.org/officeDocument/2006/relationships/hyperlink" Target="https://1drv.ms/b/c/5b8eb9676f6d6732/IQAkceCOgNi4R5C4MW7MpyrvAUwp-43VXUiAZuCjHVGVQLE?e=wVt3hH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CNK-reSdXKR41JDBXhNvk3AckKvkbFHVuEyBAD74AM_Is?e=Ylp5T4" TargetMode="External"/><Relationship Id="rId2" Type="http://schemas.openxmlformats.org/officeDocument/2006/relationships/hyperlink" Target="https://1drv.ms/b/c/5b8eb9676f6d6732/IQCnOr5JpMMpTK2q_zd7LnYDAQhum3yU5wwhMPcsyvGG_mw?e=hBcxuy" TargetMode="External"/><Relationship Id="rId1" Type="http://schemas.openxmlformats.org/officeDocument/2006/relationships/hyperlink" Target="https://1drv.ms/b/c/5b8eb9676f6d6732/IQCBYJ5bHCEMTLZlg3gqKLqWAT_Lukt6exS9EWFc2Zkj0ns?e=jTUnAN" TargetMode="External"/><Relationship Id="rId4" Type="http://schemas.openxmlformats.org/officeDocument/2006/relationships/hyperlink" Target="https://1drv.ms/b/c/5b8eb9676f6d6732/IQD0WlZHoZp_RbJOAUffNPLNAQc4rF44rjL0iieKEWl9A7M?e=PKsb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AbTpg9w5-dQ74e1AYO5vhFAR7MgwM5J0B1SSUPA30ShlY?e=RVoeUi" TargetMode="External"/><Relationship Id="rId2" Type="http://schemas.openxmlformats.org/officeDocument/2006/relationships/hyperlink" Target="https://1drv.ms/b/c/5b8eb9676f6d6732/IQDKOvyrfb-9QqURvio7gQYCAc03iBSuUuA7tLOJ3xKSMhg?e=98PCZh" TargetMode="External"/><Relationship Id="rId1" Type="http://schemas.openxmlformats.org/officeDocument/2006/relationships/hyperlink" Target="https://1drv.ms/b/c/5b8eb9676f6d6732/IQCua9yzLB3aRo6OO_F5D7ZLAapd4fE1A_FqoMGhu98Tghs?e=oSNm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2:AB39"/>
  <sheetViews>
    <sheetView topLeftCell="C1" workbookViewId="0">
      <selection activeCell="F17" sqref="F17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1008.73</v>
      </c>
      <c r="E3" s="63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497.76</v>
      </c>
      <c r="E4" s="63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1506.49</v>
      </c>
      <c r="E5" s="147"/>
      <c r="F5" s="149"/>
      <c r="G5" s="28" t="s">
        <v>7</v>
      </c>
      <c r="H5" s="29" t="s">
        <v>8</v>
      </c>
      <c r="I5" s="29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4" t="s">
        <v>15</v>
      </c>
      <c r="V5" s="205"/>
      <c r="W5" s="172" t="s">
        <v>16</v>
      </c>
      <c r="X5" s="173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415.93000000000006</v>
      </c>
      <c r="E6" s="31"/>
      <c r="F6" s="16"/>
      <c r="G6" s="30"/>
      <c r="H6" s="31" t="s">
        <v>18</v>
      </c>
      <c r="I6" s="50">
        <v>830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8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3" t="s">
        <v>20</v>
      </c>
      <c r="H7" s="31" t="s">
        <v>21</v>
      </c>
      <c r="I7" s="51">
        <v>656.86</v>
      </c>
      <c r="J7" s="41"/>
      <c r="K7" s="33" t="s">
        <v>22</v>
      </c>
      <c r="L7" s="54">
        <v>500</v>
      </c>
      <c r="M7" s="46"/>
      <c r="N7" s="54"/>
      <c r="O7" s="47"/>
      <c r="P7" s="54">
        <v>235.73</v>
      </c>
      <c r="Q7" s="30"/>
      <c r="R7" s="54">
        <v>5.5</v>
      </c>
      <c r="S7" s="175" t="s">
        <v>23</v>
      </c>
      <c r="T7" s="206"/>
      <c r="U7" s="76" t="s">
        <v>24</v>
      </c>
      <c r="V7" s="97"/>
      <c r="W7" s="38" t="s">
        <v>25</v>
      </c>
      <c r="X7" s="56">
        <v>42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3"/>
      <c r="H8" s="31"/>
      <c r="I8" s="50"/>
      <c r="J8" s="41"/>
      <c r="K8" s="33" t="s">
        <v>26</v>
      </c>
      <c r="L8" s="54">
        <v>101</v>
      </c>
      <c r="M8" s="46"/>
      <c r="N8" s="54"/>
      <c r="O8" s="38"/>
      <c r="P8" s="54"/>
      <c r="Q8" s="30"/>
      <c r="R8" s="54">
        <v>4</v>
      </c>
      <c r="S8" s="38" t="s">
        <v>27</v>
      </c>
      <c r="T8" s="54">
        <v>9.99</v>
      </c>
      <c r="U8" s="46" t="s">
        <v>28</v>
      </c>
      <c r="V8" s="54"/>
      <c r="W8" s="38"/>
      <c r="X8" s="56"/>
      <c r="Y8" s="16"/>
      <c r="Z8" s="13"/>
      <c r="AA8" s="23"/>
      <c r="AB8" s="24"/>
    </row>
    <row r="9" spans="2:28" ht="15.75">
      <c r="B9" s="33"/>
      <c r="C9" s="177" t="s">
        <v>29</v>
      </c>
      <c r="D9" s="178"/>
      <c r="E9" s="31"/>
      <c r="F9" s="16"/>
      <c r="G9" s="203" t="s">
        <v>30</v>
      </c>
      <c r="H9" s="31" t="s">
        <v>21</v>
      </c>
      <c r="I9" s="50">
        <v>413.96</v>
      </c>
      <c r="J9" s="41" t="s">
        <v>31</v>
      </c>
      <c r="K9" s="33" t="s">
        <v>32</v>
      </c>
      <c r="L9" s="54">
        <v>40</v>
      </c>
      <c r="M9" s="46"/>
      <c r="N9" s="54"/>
      <c r="O9" s="30"/>
      <c r="P9" s="54"/>
      <c r="Q9" s="30" t="s">
        <v>33</v>
      </c>
      <c r="R9" s="54">
        <v>25</v>
      </c>
      <c r="S9" s="38" t="s">
        <v>34</v>
      </c>
      <c r="T9" s="54">
        <v>5.39</v>
      </c>
      <c r="U9" s="46"/>
      <c r="V9" s="54"/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2000</v>
      </c>
      <c r="E10" s="31"/>
      <c r="F10" s="16"/>
      <c r="G10" s="203"/>
      <c r="H10" s="31"/>
      <c r="I10" s="50"/>
      <c r="J10" s="41"/>
      <c r="K10" s="33" t="s">
        <v>36</v>
      </c>
      <c r="L10" s="54">
        <v>6</v>
      </c>
      <c r="M10" s="46"/>
      <c r="N10" s="54"/>
      <c r="O10" s="30"/>
      <c r="P10" s="54"/>
      <c r="Q10" s="30"/>
      <c r="R10" s="54"/>
      <c r="S10" s="38"/>
      <c r="T10" s="54"/>
      <c r="U10" s="46"/>
      <c r="V10" s="54"/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900</v>
      </c>
      <c r="E11" s="31"/>
      <c r="F11" s="16"/>
      <c r="G11" s="203" t="s">
        <v>38</v>
      </c>
      <c r="H11" s="31" t="s">
        <v>39</v>
      </c>
      <c r="I11" s="50">
        <v>428.92</v>
      </c>
      <c r="J11" s="41"/>
      <c r="K11" s="33"/>
      <c r="L11" s="54"/>
      <c r="M11" s="46"/>
      <c r="N11" s="54"/>
      <c r="O11" s="30"/>
      <c r="P11" s="54"/>
      <c r="Q11" s="30"/>
      <c r="R11" s="54"/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2900</v>
      </c>
      <c r="E12" s="147"/>
      <c r="F12" s="149"/>
      <c r="G12" s="203"/>
      <c r="H12" s="31"/>
      <c r="I12" s="50"/>
      <c r="J12" s="41"/>
      <c r="K12" s="33"/>
      <c r="L12" s="54"/>
      <c r="M12" s="46"/>
      <c r="N12" s="54"/>
      <c r="O12" s="30"/>
      <c r="P12" s="54"/>
      <c r="Q12" s="30"/>
      <c r="R12" s="54"/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3" t="s">
        <v>40</v>
      </c>
      <c r="H13" s="31" t="s">
        <v>21</v>
      </c>
      <c r="I13" s="50">
        <v>492.68</v>
      </c>
      <c r="J13" s="42"/>
      <c r="K13" s="34" t="s">
        <v>41</v>
      </c>
      <c r="L13" s="54"/>
      <c r="M13" s="46"/>
      <c r="N13" s="54"/>
      <c r="O13" s="30"/>
      <c r="P13" s="54"/>
      <c r="Q13" s="30"/>
      <c r="R13" s="54"/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3"/>
      <c r="H14" s="31" t="s">
        <v>42</v>
      </c>
      <c r="I14" s="50"/>
      <c r="J14" s="42"/>
      <c r="K14" s="33" t="s">
        <v>43</v>
      </c>
      <c r="L14" s="54">
        <v>33</v>
      </c>
      <c r="M14" s="46"/>
      <c r="N14" s="54"/>
      <c r="O14" s="30"/>
      <c r="P14" s="54"/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35"/>
      <c r="H15" s="31"/>
      <c r="I15" s="50"/>
      <c r="J15" s="42"/>
      <c r="K15" s="33" t="s">
        <v>44</v>
      </c>
      <c r="L15" s="54"/>
      <c r="M15" s="46"/>
      <c r="N15" s="54"/>
      <c r="O15" s="30"/>
      <c r="P15" s="54"/>
      <c r="Q15" s="30"/>
      <c r="R15" s="54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35"/>
      <c r="H16" s="31"/>
      <c r="I16" s="52"/>
      <c r="J16" s="41"/>
      <c r="K16" s="33" t="s">
        <v>47</v>
      </c>
      <c r="L16" s="54">
        <v>61.8</v>
      </c>
      <c r="M16" s="46"/>
      <c r="N16" s="54"/>
      <c r="O16" s="30"/>
      <c r="P16" s="54"/>
      <c r="Q16" s="30"/>
      <c r="R16" s="54"/>
      <c r="S16" s="38" t="s">
        <v>48</v>
      </c>
      <c r="T16" s="54">
        <v>53</v>
      </c>
      <c r="U16" s="46" t="s">
        <v>49</v>
      </c>
      <c r="V16" s="54">
        <v>207.88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46"/>
      <c r="H17" s="36"/>
      <c r="I17" s="50"/>
      <c r="J17" s="43"/>
      <c r="K17" s="33" t="s">
        <v>50</v>
      </c>
      <c r="L17" s="54">
        <v>31.2</v>
      </c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9"/>
      <c r="F18" s="149"/>
      <c r="G18" s="37"/>
      <c r="H18" s="36"/>
      <c r="I18" s="50"/>
      <c r="J18" s="42"/>
      <c r="K18" s="33"/>
      <c r="L18" s="5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34"/>
      <c r="L19" s="54"/>
      <c r="M19" s="46"/>
      <c r="N19" s="54"/>
      <c r="O19" s="30"/>
      <c r="P19" s="54"/>
      <c r="Q19" s="30"/>
      <c r="R19" s="54"/>
      <c r="S19" s="102"/>
      <c r="U19" s="146"/>
      <c r="V19" s="53"/>
      <c r="W19" s="170" t="s">
        <v>51</v>
      </c>
      <c r="X19" s="180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33"/>
      <c r="L20" s="5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2822.42</v>
      </c>
      <c r="J23" s="44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900</v>
      </c>
      <c r="J24" s="44"/>
      <c r="K24" s="33"/>
      <c r="L24" s="54"/>
      <c r="M24" s="46"/>
      <c r="N24" s="54"/>
      <c r="O24" s="30"/>
      <c r="P24" s="54"/>
      <c r="Q24" s="30"/>
      <c r="R24" s="54"/>
      <c r="S24" s="170" t="s">
        <v>53</v>
      </c>
      <c r="T24" s="202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 t="s">
        <v>54</v>
      </c>
      <c r="T25" s="54">
        <v>67.5</v>
      </c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 t="s">
        <v>55</v>
      </c>
      <c r="T26" s="54">
        <v>32.5</v>
      </c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 t="s">
        <v>56</v>
      </c>
      <c r="T27" s="54">
        <v>45</v>
      </c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64" t="s">
        <v>6</v>
      </c>
      <c r="H29" s="165"/>
      <c r="I29" s="75">
        <f>I23-I24-I25-I26-I27-I28</f>
        <v>1922.42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66" t="s">
        <v>17</v>
      </c>
      <c r="H30" s="166"/>
      <c r="I30" s="98">
        <f>I29-Q32</f>
        <v>415.93000000000006</v>
      </c>
      <c r="J30" s="167">
        <f>SUM(L7:L29)</f>
        <v>773</v>
      </c>
      <c r="K30" s="167"/>
      <c r="L30" s="167"/>
      <c r="M30" s="168">
        <f>SUM(N7:N29)</f>
        <v>0</v>
      </c>
      <c r="N30" s="169"/>
      <c r="O30" s="168">
        <f>SUM(P7:P29)</f>
        <v>235.73</v>
      </c>
      <c r="P30" s="167"/>
      <c r="Q30" s="154">
        <f>SUM(R7:R29)</f>
        <v>34.5</v>
      </c>
      <c r="R30" s="155"/>
      <c r="S30" s="154">
        <f>SUM(T7:T29)</f>
        <v>213.38</v>
      </c>
      <c r="T30" s="155"/>
      <c r="U30" s="154">
        <f>SUM(V7:V29)</f>
        <v>207.88</v>
      </c>
      <c r="V30" s="156"/>
      <c r="W30" s="154">
        <f>SUM(X7:X29)</f>
        <v>42</v>
      </c>
      <c r="X30" s="156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57">
        <f>SUM(J30:P30)</f>
        <v>1008.73</v>
      </c>
      <c r="K31" s="157"/>
      <c r="L31" s="157"/>
      <c r="M31" s="157"/>
      <c r="N31" s="157"/>
      <c r="O31" s="157"/>
      <c r="P31" s="157"/>
      <c r="Q31" s="158">
        <f>SUM(Q30:X30)</f>
        <v>497.76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1506.49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50" t="s">
        <v>58</v>
      </c>
      <c r="K33" s="151"/>
      <c r="L33" s="151"/>
      <c r="M33" s="151"/>
      <c r="N33" s="151"/>
      <c r="O33" s="151"/>
      <c r="P33" s="151"/>
      <c r="Q33" s="152">
        <f>1300-Q32</f>
        <v>-206.49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J33:P33"/>
    <mergeCell ref="Q33:X33"/>
    <mergeCell ref="G11:G12"/>
    <mergeCell ref="J4:P4"/>
    <mergeCell ref="Q4:X4"/>
    <mergeCell ref="G13:G14"/>
    <mergeCell ref="J31:P31"/>
    <mergeCell ref="Q31:X31"/>
    <mergeCell ref="J30:L30"/>
    <mergeCell ref="O30:P30"/>
    <mergeCell ref="Q30:R30"/>
    <mergeCell ref="S30:T30"/>
    <mergeCell ref="G29:H29"/>
    <mergeCell ref="W19:X19"/>
    <mergeCell ref="M30:N30"/>
    <mergeCell ref="S15:T15"/>
    <mergeCell ref="C9:D9"/>
    <mergeCell ref="G7:G8"/>
    <mergeCell ref="G9:G10"/>
    <mergeCell ref="U5:V5"/>
    <mergeCell ref="S7:T7"/>
    <mergeCell ref="M5:N5"/>
    <mergeCell ref="J5:L5"/>
    <mergeCell ref="O5:P5"/>
    <mergeCell ref="Q5:R5"/>
    <mergeCell ref="S5:T5"/>
    <mergeCell ref="J32:P32"/>
    <mergeCell ref="Q32:X32"/>
    <mergeCell ref="J3:X3"/>
    <mergeCell ref="G3:I4"/>
    <mergeCell ref="W5:X5"/>
    <mergeCell ref="U15:V15"/>
    <mergeCell ref="U30:V30"/>
    <mergeCell ref="S24:T24"/>
    <mergeCell ref="W30:X30"/>
    <mergeCell ref="G30:H30"/>
  </mergeCells>
  <hyperlinks>
    <hyperlink ref="G7:G8" r:id="rId1" display="7 \ 1" xr:uid="{21261A8E-F09E-4E8C-BC7F-C9B30034F788}"/>
    <hyperlink ref="G9:G10" r:id="rId2" display="14 \ 1" xr:uid="{ED4EE66F-2496-4DE7-BF70-E64C3EAE39BB}"/>
    <hyperlink ref="G11:G12" r:id="rId3" display="21\ 1" xr:uid="{E744E5CD-0B31-42EF-9FA8-5D0B117953F5}"/>
    <hyperlink ref="G13:G14" r:id="rId4" display=" 28 \ 1 " xr:uid="{E038982C-0A10-45E5-B691-A0310D5BB7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510B-690D-474D-84C8-096B6159ABC0}">
  <sheetPr>
    <tabColor theme="5"/>
  </sheetPr>
  <dimension ref="B2:AB39"/>
  <sheetViews>
    <sheetView workbookViewId="0">
      <selection activeCell="F15" sqref="F15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1047.6500000000001</v>
      </c>
      <c r="E3" s="63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561.62</v>
      </c>
      <c r="E4" s="63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1609.27</v>
      </c>
      <c r="E5" s="147"/>
      <c r="F5" s="149"/>
      <c r="G5" s="28" t="s">
        <v>7</v>
      </c>
      <c r="H5" s="29" t="s">
        <v>8</v>
      </c>
      <c r="I5" s="29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4" t="s">
        <v>15</v>
      </c>
      <c r="V5" s="205"/>
      <c r="W5" s="172" t="s">
        <v>16</v>
      </c>
      <c r="X5" s="173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324.63000000000011</v>
      </c>
      <c r="E6" s="31"/>
      <c r="F6" s="16"/>
      <c r="G6" s="30"/>
      <c r="H6" s="31" t="s">
        <v>18</v>
      </c>
      <c r="I6" s="50">
        <v>427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8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3" t="s">
        <v>59</v>
      </c>
      <c r="H7" s="31" t="s">
        <v>21</v>
      </c>
      <c r="I7" s="51">
        <v>471.61</v>
      </c>
      <c r="J7" s="41"/>
      <c r="K7" s="33" t="s">
        <v>22</v>
      </c>
      <c r="L7" s="54">
        <v>500</v>
      </c>
      <c r="M7" s="110" t="s">
        <v>60</v>
      </c>
      <c r="N7" s="104">
        <v>52.97</v>
      </c>
      <c r="O7" s="47"/>
      <c r="P7" s="54">
        <v>187.68</v>
      </c>
      <c r="Q7" s="30" t="s">
        <v>61</v>
      </c>
      <c r="R7" s="54">
        <v>24</v>
      </c>
      <c r="S7" s="175" t="s">
        <v>23</v>
      </c>
      <c r="T7" s="206"/>
      <c r="U7" s="76" t="s">
        <v>24</v>
      </c>
      <c r="V7" s="97">
        <v>41</v>
      </c>
      <c r="W7" s="38" t="s">
        <v>25</v>
      </c>
      <c r="X7" s="56">
        <v>42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3"/>
      <c r="H8" s="31" t="s">
        <v>42</v>
      </c>
      <c r="I8" s="50">
        <v>40</v>
      </c>
      <c r="J8" s="41"/>
      <c r="K8" s="33" t="s">
        <v>26</v>
      </c>
      <c r="L8" s="54"/>
      <c r="M8" s="46" t="s">
        <v>62</v>
      </c>
      <c r="N8" s="54">
        <v>45</v>
      </c>
      <c r="O8" s="38"/>
      <c r="P8" s="54"/>
      <c r="Q8" s="30" t="s">
        <v>63</v>
      </c>
      <c r="R8" s="54">
        <v>10</v>
      </c>
      <c r="S8" s="38" t="s">
        <v>64</v>
      </c>
      <c r="T8" s="54">
        <v>39.15</v>
      </c>
      <c r="U8" s="46" t="s">
        <v>65</v>
      </c>
      <c r="V8" s="54"/>
      <c r="W8" s="38"/>
      <c r="X8" s="56"/>
      <c r="Y8" s="16"/>
      <c r="Z8" s="13"/>
      <c r="AA8" s="23"/>
      <c r="AB8" s="24"/>
    </row>
    <row r="9" spans="2:28" ht="15.75">
      <c r="B9" s="33"/>
      <c r="C9" s="177" t="s">
        <v>29</v>
      </c>
      <c r="D9" s="178"/>
      <c r="E9" s="31"/>
      <c r="F9" s="16"/>
      <c r="G9" s="203" t="s">
        <v>66</v>
      </c>
      <c r="H9" s="31" t="s">
        <v>21</v>
      </c>
      <c r="I9" s="109">
        <v>485.35</v>
      </c>
      <c r="J9" s="41" t="s">
        <v>67</v>
      </c>
      <c r="K9" s="33" t="s">
        <v>32</v>
      </c>
      <c r="L9" s="54">
        <v>40</v>
      </c>
      <c r="M9" s="46"/>
      <c r="N9" s="54"/>
      <c r="O9" s="30"/>
      <c r="P9" s="54"/>
      <c r="Q9" s="30"/>
      <c r="R9" s="54"/>
      <c r="S9" s="38" t="s">
        <v>64</v>
      </c>
      <c r="T9" s="54">
        <v>14</v>
      </c>
      <c r="U9" s="46" t="s">
        <v>68</v>
      </c>
      <c r="V9" s="54">
        <v>3.99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2900</v>
      </c>
      <c r="E10" s="31"/>
      <c r="F10" s="16"/>
      <c r="G10" s="203"/>
      <c r="H10" s="31"/>
      <c r="I10" s="50"/>
      <c r="J10" s="41"/>
      <c r="K10" s="33" t="s">
        <v>36</v>
      </c>
      <c r="L10" s="54">
        <v>6</v>
      </c>
      <c r="M10" s="46"/>
      <c r="N10" s="54"/>
      <c r="O10" s="30"/>
      <c r="P10" s="54"/>
      <c r="Q10" s="30"/>
      <c r="R10" s="54"/>
      <c r="S10" s="38" t="s">
        <v>69</v>
      </c>
      <c r="T10" s="54">
        <v>6.99</v>
      </c>
      <c r="U10" s="46" t="s">
        <v>70</v>
      </c>
      <c r="V10" s="54">
        <v>22.99</v>
      </c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600</v>
      </c>
      <c r="E11" s="31"/>
      <c r="F11" s="16"/>
      <c r="G11" s="203" t="s">
        <v>71</v>
      </c>
      <c r="H11" s="31" t="s">
        <v>39</v>
      </c>
      <c r="I11" s="50">
        <v>517.70000000000005</v>
      </c>
      <c r="J11" s="41"/>
      <c r="K11" s="33" t="s">
        <v>72</v>
      </c>
      <c r="L11" s="54">
        <v>80</v>
      </c>
      <c r="M11" s="46"/>
      <c r="N11" s="54"/>
      <c r="O11" s="30"/>
      <c r="P11" s="54"/>
      <c r="Q11" s="30"/>
      <c r="R11" s="54"/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3500</v>
      </c>
      <c r="E12" s="147"/>
      <c r="F12" s="149"/>
      <c r="G12" s="203"/>
      <c r="H12" s="31"/>
      <c r="I12" s="50"/>
      <c r="J12" s="41"/>
      <c r="K12" s="33"/>
      <c r="L12" s="54"/>
      <c r="M12" s="46"/>
      <c r="N12" s="54"/>
      <c r="O12" s="30"/>
      <c r="P12" s="54"/>
      <c r="Q12" s="30"/>
      <c r="R12" s="54"/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3" t="s">
        <v>73</v>
      </c>
      <c r="H13" s="31" t="s">
        <v>21</v>
      </c>
      <c r="I13" s="50">
        <v>492.24</v>
      </c>
      <c r="J13" s="42"/>
      <c r="K13" s="34" t="s">
        <v>41</v>
      </c>
      <c r="L13" s="54"/>
      <c r="M13" s="46"/>
      <c r="N13" s="54"/>
      <c r="O13" s="30"/>
      <c r="P13" s="54"/>
      <c r="Q13" s="30"/>
      <c r="R13" s="54"/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3"/>
      <c r="H14" s="31" t="s">
        <v>42</v>
      </c>
      <c r="I14" s="50"/>
      <c r="J14" s="42"/>
      <c r="K14" s="33" t="s">
        <v>43</v>
      </c>
      <c r="L14" s="54">
        <v>50</v>
      </c>
      <c r="M14" s="46"/>
      <c r="N14" s="54"/>
      <c r="O14" s="30"/>
      <c r="P14" s="54"/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35"/>
      <c r="H15" s="31"/>
      <c r="I15" s="50"/>
      <c r="J15" s="42"/>
      <c r="K15" s="33" t="s">
        <v>44</v>
      </c>
      <c r="L15" s="54"/>
      <c r="M15" s="46"/>
      <c r="N15" s="54"/>
      <c r="O15" s="30"/>
      <c r="P15" s="54"/>
      <c r="Q15" s="30"/>
      <c r="R15" s="54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35"/>
      <c r="H16" s="31"/>
      <c r="I16" s="52"/>
      <c r="J16" s="41"/>
      <c r="K16" s="33" t="s">
        <v>47</v>
      </c>
      <c r="L16" s="54">
        <v>86</v>
      </c>
      <c r="M16" s="46"/>
      <c r="N16" s="54"/>
      <c r="O16" s="30"/>
      <c r="P16" s="54"/>
      <c r="Q16" s="30"/>
      <c r="R16" s="54"/>
      <c r="S16" s="38"/>
      <c r="T16" s="54"/>
      <c r="U16" s="46"/>
      <c r="V16" s="54"/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46"/>
      <c r="H17" s="36"/>
      <c r="I17" s="50"/>
      <c r="J17" s="43"/>
      <c r="K17" s="33"/>
      <c r="L17" s="54"/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9"/>
      <c r="F18" s="149"/>
      <c r="G18" s="37"/>
      <c r="H18" s="36"/>
      <c r="I18" s="50"/>
      <c r="J18" s="42"/>
      <c r="K18" s="33"/>
      <c r="L18" s="5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34"/>
      <c r="L19" s="54"/>
      <c r="M19" s="46"/>
      <c r="N19" s="54"/>
      <c r="O19" s="30"/>
      <c r="P19" s="54"/>
      <c r="Q19" s="30"/>
      <c r="R19" s="54"/>
      <c r="S19" s="102"/>
      <c r="U19" s="146"/>
      <c r="V19" s="53"/>
      <c r="W19" s="170" t="s">
        <v>51</v>
      </c>
      <c r="X19" s="180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33"/>
      <c r="L20" s="5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2433.9</v>
      </c>
      <c r="J23" s="44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500</v>
      </c>
      <c r="J24" s="44"/>
      <c r="K24" s="33"/>
      <c r="L24" s="54"/>
      <c r="M24" s="46"/>
      <c r="N24" s="54"/>
      <c r="O24" s="30"/>
      <c r="P24" s="54"/>
      <c r="Q24" s="30"/>
      <c r="R24" s="54"/>
      <c r="S24" s="170" t="s">
        <v>53</v>
      </c>
      <c r="T24" s="202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 t="s">
        <v>74</v>
      </c>
      <c r="T25" s="54">
        <v>157.5</v>
      </c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 t="s">
        <v>75</v>
      </c>
      <c r="T26" s="54">
        <v>200</v>
      </c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64" t="s">
        <v>6</v>
      </c>
      <c r="H29" s="165"/>
      <c r="I29" s="75">
        <f>I23-I24-I25-I26-I27-I28</f>
        <v>1933.9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66" t="s">
        <v>17</v>
      </c>
      <c r="H30" s="166"/>
      <c r="I30" s="98">
        <f>I29-Q32</f>
        <v>324.63000000000011</v>
      </c>
      <c r="J30" s="167">
        <f>SUM(L7:L29)</f>
        <v>762</v>
      </c>
      <c r="K30" s="167"/>
      <c r="L30" s="167"/>
      <c r="M30" s="168">
        <f>SUM(N7:N29)</f>
        <v>97.97</v>
      </c>
      <c r="N30" s="169"/>
      <c r="O30" s="168">
        <f>SUM(P7:P29)</f>
        <v>187.68</v>
      </c>
      <c r="P30" s="167"/>
      <c r="Q30" s="154">
        <f>SUM(R7:R29)</f>
        <v>34</v>
      </c>
      <c r="R30" s="155"/>
      <c r="S30" s="154">
        <f>SUM(T7:T29)</f>
        <v>417.64</v>
      </c>
      <c r="T30" s="155"/>
      <c r="U30" s="154">
        <f>SUM(V7:V29)</f>
        <v>67.98</v>
      </c>
      <c r="V30" s="156"/>
      <c r="W30" s="154">
        <f>SUM(X7:X29)</f>
        <v>42</v>
      </c>
      <c r="X30" s="156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57">
        <f>SUM(J30:P30)</f>
        <v>1047.6500000000001</v>
      </c>
      <c r="K31" s="157"/>
      <c r="L31" s="157"/>
      <c r="M31" s="157"/>
      <c r="N31" s="157"/>
      <c r="O31" s="157"/>
      <c r="P31" s="157"/>
      <c r="Q31" s="158">
        <f>SUM(Q30:X30)</f>
        <v>561.62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1609.27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50" t="s">
        <v>58</v>
      </c>
      <c r="K33" s="151"/>
      <c r="L33" s="151"/>
      <c r="M33" s="151"/>
      <c r="N33" s="151"/>
      <c r="O33" s="151"/>
      <c r="P33" s="151"/>
      <c r="Q33" s="152">
        <f>1300-Q32</f>
        <v>-309.27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G7:G8"/>
    <mergeCell ref="S7:T7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  <mergeCell ref="C9:D9"/>
    <mergeCell ref="G9:G10"/>
    <mergeCell ref="G30:H30"/>
    <mergeCell ref="J30:L30"/>
    <mergeCell ref="M30:N30"/>
    <mergeCell ref="G11:G12"/>
    <mergeCell ref="G13:G14"/>
    <mergeCell ref="S15:T15"/>
    <mergeCell ref="W19:X19"/>
    <mergeCell ref="S24:T24"/>
    <mergeCell ref="G29:H29"/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O30:P30"/>
    <mergeCell ref="Q30:R30"/>
    <mergeCell ref="U15:V15"/>
  </mergeCells>
  <hyperlinks>
    <hyperlink ref="G7:G8" r:id="rId1" display="4 \ 2" xr:uid="{B8B074C5-DB8F-4699-B5D6-4AD190ABCCDD}"/>
    <hyperlink ref="G9:G10" r:id="rId2" display="11 \ 2" xr:uid="{1A0D3D28-9932-4237-BAAB-E751B41248FE}"/>
    <hyperlink ref="G11:G12" r:id="rId3" display="18 \ 2" xr:uid="{C7DBC836-CD78-4FE4-85E9-DC148B3032F2}"/>
    <hyperlink ref="G13:G14" r:id="rId4" display=" 25 \ 2 " xr:uid="{E5A1B398-C178-4B7F-A45F-2259E05BCB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04CE-2E89-42B3-9048-07F89D10A276}">
  <sheetPr>
    <tabColor theme="5"/>
  </sheetPr>
  <dimension ref="B2:AB39"/>
  <sheetViews>
    <sheetView topLeftCell="D4" workbookViewId="0">
      <selection activeCell="F12" sqref="F12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1252.48</v>
      </c>
      <c r="E3" s="63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779.45</v>
      </c>
      <c r="E4" s="63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2031.93</v>
      </c>
      <c r="E5" s="147"/>
      <c r="F5" s="149"/>
      <c r="G5" s="28" t="s">
        <v>7</v>
      </c>
      <c r="H5" s="29" t="s">
        <v>8</v>
      </c>
      <c r="I5" s="29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4" t="s">
        <v>15</v>
      </c>
      <c r="V5" s="205"/>
      <c r="W5" s="172" t="s">
        <v>16</v>
      </c>
      <c r="X5" s="173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208.76</v>
      </c>
      <c r="E6" s="31"/>
      <c r="F6" s="16"/>
      <c r="G6" s="30"/>
      <c r="H6" s="31" t="s">
        <v>18</v>
      </c>
      <c r="I6" s="50">
        <v>324.63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8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3" t="s">
        <v>76</v>
      </c>
      <c r="H7" s="31" t="s">
        <v>21</v>
      </c>
      <c r="I7" s="51">
        <v>482.11</v>
      </c>
      <c r="J7" s="41"/>
      <c r="K7" s="33" t="s">
        <v>22</v>
      </c>
      <c r="L7" s="54">
        <v>500</v>
      </c>
      <c r="M7" s="110"/>
      <c r="N7" s="104"/>
      <c r="O7" s="47"/>
      <c r="P7" s="54">
        <v>10</v>
      </c>
      <c r="Q7" s="30" t="s">
        <v>77</v>
      </c>
      <c r="R7" s="54">
        <v>40</v>
      </c>
      <c r="S7" s="175" t="s">
        <v>23</v>
      </c>
      <c r="T7" s="206"/>
      <c r="U7" s="76" t="s">
        <v>24</v>
      </c>
      <c r="V7" s="97">
        <v>41</v>
      </c>
      <c r="W7" s="38" t="s">
        <v>25</v>
      </c>
      <c r="X7" s="56">
        <v>42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3"/>
      <c r="H8" s="31" t="s">
        <v>42</v>
      </c>
      <c r="I8" s="50"/>
      <c r="J8" s="41"/>
      <c r="K8" s="33" t="s">
        <v>26</v>
      </c>
      <c r="L8" s="54">
        <v>207</v>
      </c>
      <c r="M8" s="46"/>
      <c r="N8" s="54"/>
      <c r="O8" s="38"/>
      <c r="P8" s="54">
        <v>42.86</v>
      </c>
      <c r="Q8" s="30"/>
      <c r="R8" s="54">
        <v>2.5</v>
      </c>
      <c r="S8" s="38" t="s">
        <v>78</v>
      </c>
      <c r="T8" s="54">
        <v>29.19</v>
      </c>
      <c r="U8" s="46" t="s">
        <v>65</v>
      </c>
      <c r="V8" s="54">
        <v>52</v>
      </c>
      <c r="W8" s="38"/>
      <c r="X8" s="56"/>
      <c r="Y8" s="16"/>
      <c r="Z8" s="13"/>
      <c r="AA8" s="23"/>
      <c r="AB8" s="24"/>
    </row>
    <row r="9" spans="2:28" ht="15.75">
      <c r="B9" s="33"/>
      <c r="C9" s="177" t="s">
        <v>29</v>
      </c>
      <c r="D9" s="178"/>
      <c r="E9" s="31"/>
      <c r="F9" s="16"/>
      <c r="G9" s="203" t="s">
        <v>79</v>
      </c>
      <c r="H9" s="31" t="s">
        <v>21</v>
      </c>
      <c r="I9" s="109">
        <v>524.69000000000005</v>
      </c>
      <c r="J9" s="41" t="s">
        <v>80</v>
      </c>
      <c r="K9" s="33" t="s">
        <v>32</v>
      </c>
      <c r="L9" s="54">
        <v>40</v>
      </c>
      <c r="M9" s="46"/>
      <c r="N9" s="54"/>
      <c r="O9" s="30"/>
      <c r="P9" s="54">
        <v>3.75</v>
      </c>
      <c r="Q9" s="30" t="s">
        <v>81</v>
      </c>
      <c r="R9" s="54">
        <v>18</v>
      </c>
      <c r="S9" s="38" t="s">
        <v>82</v>
      </c>
      <c r="T9" s="54">
        <v>26</v>
      </c>
      <c r="U9" s="46" t="s">
        <v>68</v>
      </c>
      <c r="V9" s="54">
        <v>2.99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3500</v>
      </c>
      <c r="E10" s="31"/>
      <c r="F10" s="16"/>
      <c r="G10" s="203"/>
      <c r="H10" s="31"/>
      <c r="I10" s="50"/>
      <c r="J10" s="41"/>
      <c r="K10" s="33" t="s">
        <v>36</v>
      </c>
      <c r="L10" s="54"/>
      <c r="M10" s="46"/>
      <c r="N10" s="54"/>
      <c r="O10" s="30"/>
      <c r="P10" s="54">
        <v>36.049999999999997</v>
      </c>
      <c r="Q10" s="30" t="s">
        <v>81</v>
      </c>
      <c r="R10" s="54">
        <v>30</v>
      </c>
      <c r="S10" s="38"/>
      <c r="T10" s="54"/>
      <c r="U10" s="46" t="s">
        <v>83</v>
      </c>
      <c r="V10" s="54">
        <v>22.99</v>
      </c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500</v>
      </c>
      <c r="E11" s="31"/>
      <c r="F11" s="16"/>
      <c r="G11" s="203" t="s">
        <v>84</v>
      </c>
      <c r="H11" s="31" t="s">
        <v>39</v>
      </c>
      <c r="I11" s="50">
        <v>510.4</v>
      </c>
      <c r="J11" s="41"/>
      <c r="K11" s="33"/>
      <c r="L11" s="54"/>
      <c r="M11" s="46"/>
      <c r="N11" s="54"/>
      <c r="O11" s="30"/>
      <c r="P11" s="54">
        <v>3</v>
      </c>
      <c r="Q11" s="30" t="s">
        <v>81</v>
      </c>
      <c r="R11" s="54">
        <v>17.7</v>
      </c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4000</v>
      </c>
      <c r="E12" s="147"/>
      <c r="F12" s="149"/>
      <c r="G12" s="203"/>
      <c r="H12" s="31"/>
      <c r="I12" s="50"/>
      <c r="J12" s="41"/>
      <c r="K12" s="33"/>
      <c r="L12" s="54"/>
      <c r="M12" s="46"/>
      <c r="N12" s="54"/>
      <c r="O12" s="30"/>
      <c r="P12" s="54">
        <v>61.02</v>
      </c>
      <c r="Q12" s="30" t="s">
        <v>81</v>
      </c>
      <c r="R12" s="54">
        <v>10</v>
      </c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3" t="s">
        <v>73</v>
      </c>
      <c r="H13" s="31" t="s">
        <v>21</v>
      </c>
      <c r="I13" s="50">
        <v>471.46</v>
      </c>
      <c r="J13" s="42"/>
      <c r="K13" s="34" t="s">
        <v>41</v>
      </c>
      <c r="L13" s="54"/>
      <c r="M13" s="46"/>
      <c r="N13" s="54"/>
      <c r="O13" s="30"/>
      <c r="P13" s="54">
        <v>1.18</v>
      </c>
      <c r="Q13" s="30" t="s">
        <v>85</v>
      </c>
      <c r="R13" s="54">
        <v>22.8</v>
      </c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3"/>
      <c r="H14" s="31" t="s">
        <v>42</v>
      </c>
      <c r="I14" s="50"/>
      <c r="J14" s="42"/>
      <c r="K14" s="33" t="s">
        <v>43</v>
      </c>
      <c r="L14" s="54">
        <v>74.13</v>
      </c>
      <c r="M14" s="46"/>
      <c r="N14" s="54"/>
      <c r="O14" s="30"/>
      <c r="P14" s="54">
        <v>3</v>
      </c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35"/>
      <c r="H15" s="31" t="s">
        <v>86</v>
      </c>
      <c r="I15" s="50">
        <v>427.4</v>
      </c>
      <c r="J15" s="42"/>
      <c r="K15" s="33" t="s">
        <v>44</v>
      </c>
      <c r="L15" s="54">
        <v>107</v>
      </c>
      <c r="M15" s="46"/>
      <c r="N15" s="54"/>
      <c r="O15" s="30"/>
      <c r="P15" s="54">
        <v>38</v>
      </c>
      <c r="Q15" s="30"/>
      <c r="R15" s="54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35"/>
      <c r="H16" s="31"/>
      <c r="I16" s="52"/>
      <c r="J16" s="41"/>
      <c r="K16" s="33" t="s">
        <v>47</v>
      </c>
      <c r="L16" s="54">
        <v>50</v>
      </c>
      <c r="M16" s="46"/>
      <c r="N16" s="54"/>
      <c r="O16" s="30"/>
      <c r="P16" s="54"/>
      <c r="Q16" s="30"/>
      <c r="R16" s="54"/>
      <c r="S16" s="38" t="s">
        <v>87</v>
      </c>
      <c r="T16" s="54">
        <v>10.28</v>
      </c>
      <c r="U16" s="46" t="s">
        <v>88</v>
      </c>
      <c r="V16" s="54">
        <v>400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46"/>
      <c r="H17" s="36"/>
      <c r="I17" s="50"/>
      <c r="J17" s="43"/>
      <c r="K17" s="33"/>
      <c r="L17" s="54"/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9"/>
      <c r="F18" s="149"/>
      <c r="G18" s="37"/>
      <c r="H18" s="36"/>
      <c r="I18" s="50"/>
      <c r="J18" s="42"/>
      <c r="K18" s="24"/>
      <c r="L18" s="10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23"/>
      <c r="L19" s="104"/>
      <c r="M19" s="46"/>
      <c r="N19" s="54"/>
      <c r="O19" s="30"/>
      <c r="P19" s="54"/>
      <c r="Q19" s="30"/>
      <c r="R19" s="54"/>
      <c r="S19" s="102"/>
      <c r="U19" s="146"/>
      <c r="V19" s="53"/>
      <c r="W19" s="170" t="s">
        <v>51</v>
      </c>
      <c r="X19" s="180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24"/>
      <c r="L20" s="10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>
        <v>12</v>
      </c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2740.69</v>
      </c>
      <c r="J23" s="44"/>
      <c r="K23" s="33" t="s">
        <v>89</v>
      </c>
      <c r="L23" s="54">
        <v>15.49</v>
      </c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500</v>
      </c>
      <c r="J24" s="44"/>
      <c r="K24" s="33" t="s">
        <v>90</v>
      </c>
      <c r="L24" s="54">
        <v>60</v>
      </c>
      <c r="M24" s="46"/>
      <c r="N24" s="54"/>
      <c r="O24" s="30"/>
      <c r="P24" s="54"/>
      <c r="Q24" s="30"/>
      <c r="R24" s="54"/>
      <c r="S24" s="170" t="s">
        <v>53</v>
      </c>
      <c r="T24" s="202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64" t="s">
        <v>6</v>
      </c>
      <c r="H29" s="165"/>
      <c r="I29" s="75">
        <f>I23-I24-I25-I26-I27-I28</f>
        <v>2240.69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66" t="s">
        <v>17</v>
      </c>
      <c r="H30" s="166"/>
      <c r="I30" s="98">
        <f>I29-Q32</f>
        <v>208.76</v>
      </c>
      <c r="J30" s="167">
        <f>SUM(L7:L29)</f>
        <v>1053.6199999999999</v>
      </c>
      <c r="K30" s="167"/>
      <c r="L30" s="167"/>
      <c r="M30" s="168">
        <f>SUM(N7:N29)</f>
        <v>0</v>
      </c>
      <c r="N30" s="169"/>
      <c r="O30" s="168">
        <f>SUM(P7:P29)</f>
        <v>198.86</v>
      </c>
      <c r="P30" s="167"/>
      <c r="Q30" s="154">
        <f>SUM(R7:R29)</f>
        <v>141</v>
      </c>
      <c r="R30" s="155"/>
      <c r="S30" s="154">
        <f>SUM(T7:T29)</f>
        <v>65.47</v>
      </c>
      <c r="T30" s="155"/>
      <c r="U30" s="154">
        <f>SUM(V7:V29)</f>
        <v>518.98</v>
      </c>
      <c r="V30" s="156"/>
      <c r="W30" s="154">
        <f>SUM(X7:X29)</f>
        <v>54</v>
      </c>
      <c r="X30" s="156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57">
        <f>SUM(J30:P30)</f>
        <v>1252.48</v>
      </c>
      <c r="K31" s="157"/>
      <c r="L31" s="157"/>
      <c r="M31" s="157"/>
      <c r="N31" s="157"/>
      <c r="O31" s="157"/>
      <c r="P31" s="157"/>
      <c r="Q31" s="158">
        <f>SUM(Q30:X30)</f>
        <v>779.45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2031.93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50" t="s">
        <v>58</v>
      </c>
      <c r="K33" s="151"/>
      <c r="L33" s="151"/>
      <c r="M33" s="151"/>
      <c r="N33" s="151"/>
      <c r="O33" s="151"/>
      <c r="P33" s="151"/>
      <c r="Q33" s="152">
        <f>1300-Q32</f>
        <v>-731.93000000000006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G29:H29"/>
    <mergeCell ref="W5:X5"/>
    <mergeCell ref="G7:G8"/>
    <mergeCell ref="S7:T7"/>
    <mergeCell ref="C9:D9"/>
    <mergeCell ref="G9:G10"/>
    <mergeCell ref="G11:G12"/>
    <mergeCell ref="G13:G14"/>
    <mergeCell ref="S15:T15"/>
    <mergeCell ref="U15:V15"/>
    <mergeCell ref="W19:X19"/>
    <mergeCell ref="S24:T24"/>
    <mergeCell ref="G30:H30"/>
    <mergeCell ref="J30:L30"/>
    <mergeCell ref="M30:N30"/>
    <mergeCell ref="O30:P30"/>
    <mergeCell ref="Q30:R30"/>
    <mergeCell ref="J33:P33"/>
    <mergeCell ref="Q33:X33"/>
    <mergeCell ref="U30:V30"/>
    <mergeCell ref="W30:X30"/>
    <mergeCell ref="J31:P31"/>
    <mergeCell ref="Q31:X31"/>
    <mergeCell ref="J32:P32"/>
    <mergeCell ref="Q32:X32"/>
    <mergeCell ref="S30:T30"/>
  </mergeCells>
  <hyperlinks>
    <hyperlink ref="G9:G10" r:id="rId1" display="11 \ 3" xr:uid="{6EED94E2-1057-453E-A7F2-4793E71F4AEC}"/>
    <hyperlink ref="G11:G12" r:id="rId2" display="18 \ 3" xr:uid="{4A492CE1-1615-47C0-8662-BF36EB5FE081}"/>
    <hyperlink ref="G13:G14" r:id="rId3" display=" 25 \ 2 " xr:uid="{28E29A77-441A-43FD-A3F9-5FD5C16F9F92}"/>
    <hyperlink ref="G7:G8" r:id="rId4" display="4 \ 3" xr:uid="{7439AE0D-0942-4F7F-B31B-49E90371F0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B490-E465-4766-B285-48337281A6B8}">
  <sheetPr>
    <tabColor theme="5"/>
  </sheetPr>
  <dimension ref="B2:AB39"/>
  <sheetViews>
    <sheetView topLeftCell="D5" workbookViewId="0">
      <selection activeCell="F16" sqref="F16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923.36999999999989</v>
      </c>
      <c r="E3" s="63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488.04</v>
      </c>
      <c r="E4" s="63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1411.4099999999999</v>
      </c>
      <c r="E5" s="147"/>
      <c r="F5" s="149"/>
      <c r="G5" s="28" t="s">
        <v>7</v>
      </c>
      <c r="H5" s="29" t="s">
        <v>8</v>
      </c>
      <c r="I5" s="29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4" t="s">
        <v>15</v>
      </c>
      <c r="V5" s="205"/>
      <c r="W5" s="172" t="s">
        <v>16</v>
      </c>
      <c r="X5" s="173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578.5600000000004</v>
      </c>
      <c r="E6" s="31"/>
      <c r="F6" s="16"/>
      <c r="G6" s="30"/>
      <c r="H6" s="31" t="s">
        <v>18</v>
      </c>
      <c r="I6" s="50">
        <v>208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8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3" t="s">
        <v>91</v>
      </c>
      <c r="H7" s="31" t="s">
        <v>21</v>
      </c>
      <c r="I7" s="51">
        <v>507.79</v>
      </c>
      <c r="J7" s="41"/>
      <c r="K7" s="33" t="s">
        <v>22</v>
      </c>
      <c r="L7" s="54">
        <v>500</v>
      </c>
      <c r="M7" s="110" t="s">
        <v>60</v>
      </c>
      <c r="N7" s="104">
        <v>55.39</v>
      </c>
      <c r="O7" s="47"/>
      <c r="P7" s="54">
        <v>28.78</v>
      </c>
      <c r="Q7" s="30" t="s">
        <v>92</v>
      </c>
      <c r="R7" s="54">
        <v>32</v>
      </c>
      <c r="S7" s="175" t="s">
        <v>23</v>
      </c>
      <c r="T7" s="206"/>
      <c r="U7" s="76" t="s">
        <v>24</v>
      </c>
      <c r="V7" s="97">
        <v>41</v>
      </c>
      <c r="W7" s="38" t="s">
        <v>25</v>
      </c>
      <c r="X7" s="56">
        <v>21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3"/>
      <c r="H8" s="31" t="s">
        <v>42</v>
      </c>
      <c r="I8" s="50">
        <v>56</v>
      </c>
      <c r="J8" s="41"/>
      <c r="K8" s="33" t="s">
        <v>26</v>
      </c>
      <c r="L8" s="54"/>
      <c r="M8" s="46"/>
      <c r="N8" s="54"/>
      <c r="O8" s="38"/>
      <c r="P8" s="54">
        <v>46.03</v>
      </c>
      <c r="Q8" s="30" t="s">
        <v>93</v>
      </c>
      <c r="R8" s="54">
        <v>52.49</v>
      </c>
      <c r="S8" s="38" t="s">
        <v>94</v>
      </c>
      <c r="T8" s="54">
        <v>8.99</v>
      </c>
      <c r="U8" s="46" t="s">
        <v>65</v>
      </c>
      <c r="V8" s="54">
        <v>53</v>
      </c>
      <c r="W8" s="38"/>
      <c r="X8" s="56"/>
      <c r="Y8" s="16"/>
      <c r="Z8" s="13"/>
      <c r="AA8" s="23"/>
      <c r="AB8" s="24"/>
    </row>
    <row r="9" spans="2:28" ht="15.75">
      <c r="B9" s="33"/>
      <c r="C9" s="177" t="s">
        <v>29</v>
      </c>
      <c r="D9" s="178"/>
      <c r="E9" s="31"/>
      <c r="F9" s="16"/>
      <c r="G9" s="203" t="s">
        <v>95</v>
      </c>
      <c r="H9" s="31" t="s">
        <v>21</v>
      </c>
      <c r="I9" s="109">
        <v>529.46</v>
      </c>
      <c r="J9" s="41"/>
      <c r="K9" s="33" t="s">
        <v>32</v>
      </c>
      <c r="L9" s="54">
        <v>31</v>
      </c>
      <c r="M9" s="46"/>
      <c r="N9" s="54"/>
      <c r="O9" s="30"/>
      <c r="P9" s="54">
        <v>18.16</v>
      </c>
      <c r="Q9" s="30"/>
      <c r="R9" s="54"/>
      <c r="S9" s="38" t="s">
        <v>96</v>
      </c>
      <c r="T9" s="54">
        <v>35.090000000000003</v>
      </c>
      <c r="U9" s="46" t="s">
        <v>68</v>
      </c>
      <c r="V9" s="54">
        <v>3.99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4000</v>
      </c>
      <c r="E10" s="31"/>
      <c r="F10" s="16"/>
      <c r="G10" s="203"/>
      <c r="H10" s="31" t="s">
        <v>42</v>
      </c>
      <c r="I10" s="50"/>
      <c r="J10" s="41"/>
      <c r="K10" s="33" t="s">
        <v>36</v>
      </c>
      <c r="L10" s="54">
        <v>6</v>
      </c>
      <c r="M10" s="46"/>
      <c r="N10" s="54"/>
      <c r="O10" s="30"/>
      <c r="P10" s="54">
        <v>17.940000000000001</v>
      </c>
      <c r="Q10" s="30"/>
      <c r="R10" s="54"/>
      <c r="S10" s="38" t="s">
        <v>97</v>
      </c>
      <c r="T10" s="54">
        <v>40.5</v>
      </c>
      <c r="U10" s="46"/>
      <c r="V10" s="54"/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700</v>
      </c>
      <c r="E11" s="31"/>
      <c r="F11" s="16"/>
      <c r="G11" s="203" t="s">
        <v>98</v>
      </c>
      <c r="H11" s="31" t="s">
        <v>39</v>
      </c>
      <c r="I11" s="50">
        <v>423.05</v>
      </c>
      <c r="J11" s="41"/>
      <c r="K11" s="33"/>
      <c r="L11" s="54"/>
      <c r="M11" s="46"/>
      <c r="N11" s="54"/>
      <c r="O11" s="30"/>
      <c r="P11" s="54">
        <v>12</v>
      </c>
      <c r="Q11" s="30"/>
      <c r="R11" s="54"/>
      <c r="S11" s="38" t="s">
        <v>99</v>
      </c>
      <c r="T11" s="54">
        <v>48.98</v>
      </c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4700</v>
      </c>
      <c r="E12" s="147"/>
      <c r="F12" s="149"/>
      <c r="G12" s="203"/>
      <c r="H12" s="31" t="s">
        <v>42</v>
      </c>
      <c r="I12" s="50"/>
      <c r="J12" s="41"/>
      <c r="K12" s="33"/>
      <c r="L12" s="54"/>
      <c r="M12" s="46"/>
      <c r="N12" s="54"/>
      <c r="O12" s="30"/>
      <c r="P12" s="54">
        <v>1.79</v>
      </c>
      <c r="Q12" s="30"/>
      <c r="R12" s="54"/>
      <c r="S12" s="38" t="s">
        <v>100</v>
      </c>
      <c r="T12" s="54">
        <v>23</v>
      </c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3" t="s">
        <v>101</v>
      </c>
      <c r="H13" s="31" t="s">
        <v>21</v>
      </c>
      <c r="I13" s="50">
        <v>428.93</v>
      </c>
      <c r="J13" s="42"/>
      <c r="K13" s="34" t="s">
        <v>41</v>
      </c>
      <c r="L13" s="54"/>
      <c r="M13" s="46"/>
      <c r="N13" s="54"/>
      <c r="O13" s="30"/>
      <c r="P13" s="54">
        <v>32</v>
      </c>
      <c r="Q13" s="30"/>
      <c r="R13" s="54"/>
      <c r="S13" s="48"/>
      <c r="T13" s="111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3"/>
      <c r="H14" s="31" t="s">
        <v>42</v>
      </c>
      <c r="I14" s="50"/>
      <c r="J14" s="42"/>
      <c r="K14" s="33" t="s">
        <v>43</v>
      </c>
      <c r="L14" s="54"/>
      <c r="M14" s="46"/>
      <c r="N14" s="54"/>
      <c r="O14" s="30"/>
      <c r="P14" s="54">
        <v>6</v>
      </c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5.75">
      <c r="B15" s="33"/>
      <c r="C15" s="33"/>
      <c r="D15" s="33"/>
      <c r="E15" s="36"/>
      <c r="F15" s="18"/>
      <c r="G15" s="203" t="s">
        <v>102</v>
      </c>
      <c r="H15" s="31" t="s">
        <v>21</v>
      </c>
      <c r="I15" s="50">
        <v>536.74</v>
      </c>
      <c r="J15" s="42"/>
      <c r="K15" s="33" t="s">
        <v>44</v>
      </c>
      <c r="L15" s="54"/>
      <c r="M15" s="46"/>
      <c r="N15" s="54"/>
      <c r="O15" s="30"/>
      <c r="P15" s="54">
        <v>10.99</v>
      </c>
      <c r="Q15" s="30"/>
      <c r="R15" s="54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5.75">
      <c r="B16" s="33"/>
      <c r="C16" s="33"/>
      <c r="D16" s="33"/>
      <c r="E16" s="36"/>
      <c r="F16" s="18"/>
      <c r="G16" s="203"/>
      <c r="H16" s="31" t="s">
        <v>42</v>
      </c>
      <c r="I16" s="52"/>
      <c r="J16" s="41"/>
      <c r="K16" s="33" t="s">
        <v>47</v>
      </c>
      <c r="L16" s="54">
        <v>92.3</v>
      </c>
      <c r="M16" s="46"/>
      <c r="N16" s="54"/>
      <c r="O16" s="30"/>
      <c r="P16" s="54">
        <v>7.66</v>
      </c>
      <c r="Q16" s="30"/>
      <c r="R16" s="54"/>
      <c r="S16" s="38" t="s">
        <v>103</v>
      </c>
      <c r="T16" s="54">
        <v>15</v>
      </c>
      <c r="U16" s="46" t="s">
        <v>104</v>
      </c>
      <c r="V16" s="54">
        <v>113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02"/>
      <c r="H17" s="36"/>
      <c r="I17" s="50"/>
      <c r="J17" s="43"/>
      <c r="K17" s="33"/>
      <c r="L17" s="54"/>
      <c r="M17" s="46"/>
      <c r="N17" s="54"/>
      <c r="O17" s="30"/>
      <c r="P17" s="54">
        <v>1.99</v>
      </c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9"/>
      <c r="F18" s="149"/>
      <c r="G18" s="37"/>
      <c r="H18" s="36"/>
      <c r="I18" s="50"/>
      <c r="J18" s="42"/>
      <c r="K18" s="24"/>
      <c r="L18" s="104"/>
      <c r="M18" s="46"/>
      <c r="N18" s="54"/>
      <c r="O18" s="30"/>
      <c r="P18" s="54">
        <v>53.55</v>
      </c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23"/>
      <c r="L19" s="104"/>
      <c r="M19" s="46"/>
      <c r="N19" s="54"/>
      <c r="O19" s="30"/>
      <c r="P19" s="54">
        <v>1.79</v>
      </c>
      <c r="Q19" s="30"/>
      <c r="R19" s="54"/>
      <c r="S19" s="102"/>
      <c r="U19" s="146"/>
      <c r="V19" s="53"/>
      <c r="W19" s="170" t="s">
        <v>51</v>
      </c>
      <c r="X19" s="180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24"/>
      <c r="L20" s="10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2689.9700000000003</v>
      </c>
      <c r="J23" s="44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700</v>
      </c>
      <c r="J24" s="44"/>
      <c r="K24" s="33"/>
      <c r="L24" s="54"/>
      <c r="M24" s="46"/>
      <c r="N24" s="54"/>
      <c r="O24" s="30"/>
      <c r="P24" s="54"/>
      <c r="Q24" s="30"/>
      <c r="R24" s="54"/>
      <c r="S24" s="170" t="s">
        <v>53</v>
      </c>
      <c r="T24" s="202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64" t="s">
        <v>6</v>
      </c>
      <c r="H29" s="165"/>
      <c r="I29" s="75">
        <f>I23-I24-I25-I26-I27-I28</f>
        <v>1989.9700000000003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66" t="s">
        <v>17</v>
      </c>
      <c r="H30" s="166"/>
      <c r="I30" s="98">
        <f>I29-Q32</f>
        <v>578.5600000000004</v>
      </c>
      <c r="J30" s="167">
        <f>SUM(L7:L29)</f>
        <v>629.29999999999995</v>
      </c>
      <c r="K30" s="167"/>
      <c r="L30" s="167"/>
      <c r="M30" s="168">
        <f>SUM(N7:N29)</f>
        <v>55.39</v>
      </c>
      <c r="N30" s="169"/>
      <c r="O30" s="168">
        <f>SUM(P7:P29)</f>
        <v>238.67999999999998</v>
      </c>
      <c r="P30" s="167"/>
      <c r="Q30" s="154">
        <f>SUM(R7:R29)</f>
        <v>84.490000000000009</v>
      </c>
      <c r="R30" s="155"/>
      <c r="S30" s="154">
        <f>SUM(T7:T29)</f>
        <v>171.56</v>
      </c>
      <c r="T30" s="155"/>
      <c r="U30" s="154">
        <f>SUM(V7:V29)</f>
        <v>210.99</v>
      </c>
      <c r="V30" s="156"/>
      <c r="W30" s="154">
        <f>SUM(X7:X29)</f>
        <v>21</v>
      </c>
      <c r="X30" s="156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57">
        <f>SUM(J30:P30)</f>
        <v>923.36999999999989</v>
      </c>
      <c r="K31" s="157"/>
      <c r="L31" s="157"/>
      <c r="M31" s="157"/>
      <c r="N31" s="157"/>
      <c r="O31" s="157"/>
      <c r="P31" s="157"/>
      <c r="Q31" s="158">
        <f>SUM(Q30:X30)</f>
        <v>488.04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1411.4099999999999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50" t="s">
        <v>58</v>
      </c>
      <c r="K33" s="151"/>
      <c r="L33" s="151"/>
      <c r="M33" s="151"/>
      <c r="N33" s="151"/>
      <c r="O33" s="151"/>
      <c r="P33" s="151"/>
      <c r="Q33" s="152">
        <f>1300-Q32</f>
        <v>-111.40999999999985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7"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  <mergeCell ref="G29:H29"/>
    <mergeCell ref="G30:H30"/>
    <mergeCell ref="J30:L30"/>
    <mergeCell ref="M30:N30"/>
    <mergeCell ref="O30:P30"/>
    <mergeCell ref="S24:T24"/>
    <mergeCell ref="W5:X5"/>
    <mergeCell ref="G7:G8"/>
    <mergeCell ref="S7:T7"/>
    <mergeCell ref="C9:D9"/>
    <mergeCell ref="G9:G10"/>
    <mergeCell ref="G11:G12"/>
    <mergeCell ref="G13:G14"/>
    <mergeCell ref="G15:G16"/>
    <mergeCell ref="S15:T15"/>
    <mergeCell ref="U15:V15"/>
    <mergeCell ref="W19:X19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</mergeCells>
  <hyperlinks>
    <hyperlink ref="G9:G10" r:id="rId1" display="8 \ 4" xr:uid="{B77D4DB8-7323-49C5-B8A3-089463F6C653}"/>
    <hyperlink ref="G13:G14" r:id="rId2" display=" 22 \ 4 " xr:uid="{215E9249-848F-4283-B97A-A5593863420B}"/>
    <hyperlink ref="G11:G12" r:id="rId3" display="15 \ 4" xr:uid="{7673CF15-94AB-4A1A-A610-F489432F4669}"/>
    <hyperlink ref="G7:G8" r:id="rId4" display="1 \ 4" xr:uid="{1A17A193-149F-4092-BBC3-2D32249C7182}"/>
    <hyperlink ref="G15:G16" r:id="rId5" display=" 29 \ 4 " xr:uid="{0C4AB0C9-8AF7-4B8C-8652-1588D92155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E74F-1BAE-4073-B12F-B822011A8285}">
  <sheetPr>
    <tabColor theme="5"/>
  </sheetPr>
  <dimension ref="B2:AB39"/>
  <sheetViews>
    <sheetView topLeftCell="C3" workbookViewId="0">
      <selection activeCell="F7" sqref="F7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8.4257812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847.20999999999992</v>
      </c>
      <c r="E3" s="63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507.27000000000004</v>
      </c>
      <c r="E4" s="63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1354.48</v>
      </c>
      <c r="E5" s="147"/>
      <c r="F5" s="149"/>
      <c r="G5" s="28" t="s">
        <v>7</v>
      </c>
      <c r="H5" s="29" t="s">
        <v>8</v>
      </c>
      <c r="I5" s="29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4" t="s">
        <v>15</v>
      </c>
      <c r="V5" s="205"/>
      <c r="W5" s="172" t="s">
        <v>16</v>
      </c>
      <c r="X5" s="173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1215.8700000000003</v>
      </c>
      <c r="E6" s="31"/>
      <c r="F6" s="16"/>
      <c r="G6" s="30"/>
      <c r="H6" s="31" t="s">
        <v>18</v>
      </c>
      <c r="I6" s="50">
        <v>578.55999999999995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8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3" t="s">
        <v>105</v>
      </c>
      <c r="H7" s="31" t="s">
        <v>21</v>
      </c>
      <c r="I7" s="51">
        <v>461.36</v>
      </c>
      <c r="J7" s="115"/>
      <c r="K7" s="33" t="s">
        <v>22</v>
      </c>
      <c r="L7" s="54">
        <v>500</v>
      </c>
      <c r="M7" s="110"/>
      <c r="N7" s="104"/>
      <c r="O7" s="47"/>
      <c r="P7" s="54">
        <v>2.5</v>
      </c>
      <c r="Q7" s="30"/>
      <c r="R7" s="54"/>
      <c r="S7" s="175" t="s">
        <v>23</v>
      </c>
      <c r="T7" s="206"/>
      <c r="U7" s="46" t="s">
        <v>65</v>
      </c>
      <c r="V7" s="54">
        <v>53</v>
      </c>
      <c r="W7" s="38"/>
      <c r="X7" s="56"/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3"/>
      <c r="H8" s="31" t="s">
        <v>42</v>
      </c>
      <c r="I8" s="50"/>
      <c r="J8" s="115"/>
      <c r="K8" s="33" t="s">
        <v>26</v>
      </c>
      <c r="L8" s="54">
        <v>137</v>
      </c>
      <c r="M8" s="46"/>
      <c r="N8" s="54"/>
      <c r="O8" s="38"/>
      <c r="P8" s="54">
        <v>33.5</v>
      </c>
      <c r="Q8" s="30"/>
      <c r="R8" s="54"/>
      <c r="S8" s="38" t="s">
        <v>106</v>
      </c>
      <c r="T8" s="54">
        <v>42.18</v>
      </c>
      <c r="U8" s="46" t="s">
        <v>68</v>
      </c>
      <c r="V8" s="54">
        <v>3.99</v>
      </c>
      <c r="W8" s="38"/>
      <c r="X8" s="56"/>
      <c r="Y8" s="16"/>
      <c r="Z8" s="13"/>
      <c r="AA8" s="23"/>
      <c r="AB8" s="24"/>
    </row>
    <row r="9" spans="2:28" ht="15.75">
      <c r="B9" s="33"/>
      <c r="C9" s="177" t="s">
        <v>29</v>
      </c>
      <c r="D9" s="178"/>
      <c r="E9" s="31"/>
      <c r="F9" s="16"/>
      <c r="G9" s="203" t="s">
        <v>107</v>
      </c>
      <c r="H9" s="31" t="s">
        <v>21</v>
      </c>
      <c r="I9" s="109">
        <v>503.02</v>
      </c>
      <c r="J9" s="115"/>
      <c r="K9" s="33" t="s">
        <v>32</v>
      </c>
      <c r="L9" s="54">
        <v>40</v>
      </c>
      <c r="M9" s="46"/>
      <c r="N9" s="54"/>
      <c r="O9" s="30"/>
      <c r="P9" s="54"/>
      <c r="Q9" s="30"/>
      <c r="R9" s="54"/>
      <c r="S9" s="38"/>
      <c r="T9" s="54">
        <v>9.49</v>
      </c>
      <c r="U9" s="112" t="s">
        <v>108</v>
      </c>
      <c r="V9" s="113">
        <v>53.5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4700</v>
      </c>
      <c r="E10" s="31"/>
      <c r="F10" s="16"/>
      <c r="G10" s="203"/>
      <c r="H10" s="31" t="s">
        <v>42</v>
      </c>
      <c r="I10" s="50"/>
      <c r="J10" s="115"/>
      <c r="K10" s="33" t="s">
        <v>36</v>
      </c>
      <c r="L10" s="54">
        <v>6</v>
      </c>
      <c r="M10" s="46"/>
      <c r="N10" s="54"/>
      <c r="O10" s="30"/>
      <c r="P10" s="54"/>
      <c r="Q10" s="30"/>
      <c r="R10" s="54"/>
      <c r="S10" s="38"/>
      <c r="T10" s="54"/>
      <c r="U10" s="46"/>
      <c r="V10" s="54"/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200</v>
      </c>
      <c r="E11" s="31"/>
      <c r="F11" s="16"/>
      <c r="G11" s="203" t="s">
        <v>109</v>
      </c>
      <c r="H11" s="31" t="s">
        <v>39</v>
      </c>
      <c r="I11" s="50">
        <v>513.70000000000005</v>
      </c>
      <c r="J11" s="116" t="s">
        <v>110</v>
      </c>
      <c r="K11" s="114" t="s">
        <v>111</v>
      </c>
      <c r="L11" s="113">
        <v>41</v>
      </c>
      <c r="M11" s="46"/>
      <c r="N11" s="54"/>
      <c r="O11" s="30"/>
      <c r="P11" s="54"/>
      <c r="Q11" s="30"/>
      <c r="R11" s="54"/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4900</v>
      </c>
      <c r="E12" s="147"/>
      <c r="F12" s="149"/>
      <c r="G12" s="203"/>
      <c r="H12" s="31" t="s">
        <v>42</v>
      </c>
      <c r="I12" s="50"/>
      <c r="J12" s="115"/>
      <c r="K12" s="33"/>
      <c r="L12" s="54"/>
      <c r="M12" s="46"/>
      <c r="N12" s="54"/>
      <c r="O12" s="30"/>
      <c r="P12" s="54"/>
      <c r="Q12" s="30"/>
      <c r="R12" s="54"/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3" t="s">
        <v>112</v>
      </c>
      <c r="H13" s="31" t="s">
        <v>21</v>
      </c>
      <c r="I13" s="50">
        <v>513.71</v>
      </c>
      <c r="J13" s="115"/>
      <c r="K13" s="34" t="s">
        <v>41</v>
      </c>
      <c r="L13" s="54"/>
      <c r="M13" s="46"/>
      <c r="N13" s="54"/>
      <c r="O13" s="30"/>
      <c r="P13" s="54"/>
      <c r="Q13" s="30"/>
      <c r="R13" s="54"/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3"/>
      <c r="H14" s="31" t="s">
        <v>42</v>
      </c>
      <c r="I14" s="50"/>
      <c r="J14" s="115"/>
      <c r="K14" s="33" t="s">
        <v>43</v>
      </c>
      <c r="L14" s="54">
        <v>70.41</v>
      </c>
      <c r="M14" s="46"/>
      <c r="N14" s="54"/>
      <c r="O14" s="30"/>
      <c r="P14" s="54"/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179"/>
      <c r="H15" s="31"/>
      <c r="I15" s="50"/>
      <c r="J15" s="115"/>
      <c r="K15" s="33" t="s">
        <v>44</v>
      </c>
      <c r="L15" s="54"/>
      <c r="M15" s="46"/>
      <c r="N15" s="54"/>
      <c r="O15" s="30"/>
      <c r="P15" s="54"/>
      <c r="Q15" s="30"/>
      <c r="R15" s="54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179"/>
      <c r="H16" s="31"/>
      <c r="I16" s="52"/>
      <c r="J16" s="115"/>
      <c r="K16" s="33" t="s">
        <v>47</v>
      </c>
      <c r="L16" s="54">
        <v>16.8</v>
      </c>
      <c r="M16" s="46"/>
      <c r="N16" s="54"/>
      <c r="O16" s="30"/>
      <c r="P16" s="54"/>
      <c r="Q16" s="30"/>
      <c r="R16" s="54"/>
      <c r="S16" s="38"/>
      <c r="T16" s="54"/>
      <c r="U16" s="46" t="s">
        <v>113</v>
      </c>
      <c r="V16" s="54">
        <v>345.11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02"/>
      <c r="H17" s="36"/>
      <c r="I17" s="50"/>
      <c r="J17" s="117"/>
      <c r="K17" s="33"/>
      <c r="L17" s="54"/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9"/>
      <c r="F18" s="149"/>
      <c r="G18" s="37"/>
      <c r="H18" s="36"/>
      <c r="I18" s="50"/>
      <c r="J18" s="115"/>
      <c r="K18" s="24"/>
      <c r="L18" s="10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115"/>
      <c r="K19" s="23"/>
      <c r="L19" s="104"/>
      <c r="M19" s="46"/>
      <c r="N19" s="54"/>
      <c r="O19" s="30"/>
      <c r="P19" s="54"/>
      <c r="Q19" s="30"/>
      <c r="R19" s="54"/>
      <c r="S19" s="102"/>
      <c r="U19" s="146"/>
      <c r="V19" s="53"/>
      <c r="W19" s="170" t="s">
        <v>51</v>
      </c>
      <c r="X19" s="180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115"/>
      <c r="K20" s="24"/>
      <c r="L20" s="10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115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115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2570.3500000000004</v>
      </c>
      <c r="J23" s="115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/>
      <c r="J24" s="115"/>
      <c r="K24" s="33"/>
      <c r="L24" s="54"/>
      <c r="M24" s="46"/>
      <c r="N24" s="54"/>
      <c r="O24" s="30"/>
      <c r="P24" s="54"/>
      <c r="Q24" s="30"/>
      <c r="R24" s="54"/>
      <c r="S24" s="170" t="s">
        <v>53</v>
      </c>
      <c r="T24" s="202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115"/>
      <c r="K25" s="33"/>
      <c r="L25" s="54"/>
      <c r="M25" s="46"/>
      <c r="N25" s="54"/>
      <c r="O25" s="30"/>
      <c r="P25" s="54"/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115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115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115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64" t="s">
        <v>6</v>
      </c>
      <c r="H29" s="165"/>
      <c r="I29" s="75">
        <f>I23-I24-I25-I26-I27-I28</f>
        <v>2570.3500000000004</v>
      </c>
      <c r="J29" s="118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66" t="s">
        <v>17</v>
      </c>
      <c r="H30" s="166"/>
      <c r="I30" s="98">
        <f>I29-Q32</f>
        <v>1215.8700000000003</v>
      </c>
      <c r="J30" s="167">
        <f>SUM(L7:L29)</f>
        <v>811.20999999999992</v>
      </c>
      <c r="K30" s="167"/>
      <c r="L30" s="167"/>
      <c r="M30" s="168">
        <f>SUM(N7:N29)</f>
        <v>0</v>
      </c>
      <c r="N30" s="169"/>
      <c r="O30" s="168">
        <f>SUM(P7:P29)</f>
        <v>36</v>
      </c>
      <c r="P30" s="167"/>
      <c r="Q30" s="154">
        <f>SUM(R7:R29)</f>
        <v>0</v>
      </c>
      <c r="R30" s="155"/>
      <c r="S30" s="154">
        <f>SUM(T7:T29)</f>
        <v>51.67</v>
      </c>
      <c r="T30" s="155"/>
      <c r="U30" s="154">
        <f>SUM(V7:V29)</f>
        <v>455.6</v>
      </c>
      <c r="V30" s="156"/>
      <c r="W30" s="154">
        <f>SUM(X7:X29)</f>
        <v>0</v>
      </c>
      <c r="X30" s="156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57">
        <f>SUM(J30:P30)</f>
        <v>847.20999999999992</v>
      </c>
      <c r="K31" s="157"/>
      <c r="L31" s="157"/>
      <c r="M31" s="157"/>
      <c r="N31" s="157"/>
      <c r="O31" s="157"/>
      <c r="P31" s="157"/>
      <c r="Q31" s="158">
        <f>SUM(Q30:X30)</f>
        <v>507.27000000000004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1354.48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50" t="s">
        <v>114</v>
      </c>
      <c r="K33" s="151"/>
      <c r="L33" s="151"/>
      <c r="M33" s="151"/>
      <c r="N33" s="151"/>
      <c r="O33" s="151"/>
      <c r="P33" s="151"/>
      <c r="Q33" s="152">
        <f>1500-Q32</f>
        <v>145.51999999999998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7">
    <mergeCell ref="W19:X19"/>
    <mergeCell ref="S24:T24"/>
    <mergeCell ref="J33:P33"/>
    <mergeCell ref="Q33:X33"/>
    <mergeCell ref="J32:P32"/>
    <mergeCell ref="Q32:X32"/>
    <mergeCell ref="U30:V30"/>
    <mergeCell ref="W30:X30"/>
    <mergeCell ref="J31:P31"/>
    <mergeCell ref="Q31:X31"/>
    <mergeCell ref="J30:L30"/>
    <mergeCell ref="M30:N30"/>
    <mergeCell ref="O30:P30"/>
    <mergeCell ref="Q30:R30"/>
    <mergeCell ref="S30:T30"/>
    <mergeCell ref="C9:D9"/>
    <mergeCell ref="G9:G10"/>
    <mergeCell ref="G13:G14"/>
    <mergeCell ref="S15:T15"/>
    <mergeCell ref="G29:H29"/>
    <mergeCell ref="G30:H30"/>
    <mergeCell ref="U15:V15"/>
    <mergeCell ref="G11:G12"/>
    <mergeCell ref="G15:G16"/>
    <mergeCell ref="G7:G8"/>
    <mergeCell ref="S7:T7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</mergeCells>
  <hyperlinks>
    <hyperlink ref="G9:G10" r:id="rId1" display="13 \ 5" xr:uid="{1A815040-0638-4CFC-B7CD-1080599B6A13}"/>
    <hyperlink ref="G11:G12" r:id="rId2" display="20 \ 5" xr:uid="{29F1C462-2D93-41B9-95EB-8ACC64A66042}"/>
    <hyperlink ref="G13:G14" r:id="rId3" display=" 27 \ 5 " xr:uid="{586E47E1-2574-4B33-B710-67D1D325DD2B}"/>
    <hyperlink ref="G7:G8" r:id="rId4" display="6 \ 5" xr:uid="{AAB106C1-28D4-41A3-B6D6-353236A8385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F829-E680-4A6C-89AD-B15500DAEC91}">
  <sheetPr>
    <tabColor theme="5"/>
  </sheetPr>
  <dimension ref="B2:AB39"/>
  <sheetViews>
    <sheetView workbookViewId="0">
      <selection activeCell="M18" sqref="M18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8" max="18" width="9.28515625" bestFit="1" customWidth="1"/>
    <col min="19" max="19" width="16.42578125" customWidth="1"/>
    <col min="20" max="20" width="10.5703125" customWidth="1"/>
    <col min="21" max="21" width="18.71093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1227.5800000000002</v>
      </c>
      <c r="E3" s="63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1579.97</v>
      </c>
      <c r="E4" s="63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2807.55</v>
      </c>
      <c r="E5" s="147"/>
      <c r="F5" s="149"/>
      <c r="G5" s="28" t="s">
        <v>7</v>
      </c>
      <c r="H5" s="29" t="s">
        <v>8</v>
      </c>
      <c r="I5" s="29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4" t="s">
        <v>15</v>
      </c>
      <c r="V5" s="205"/>
      <c r="W5" s="172" t="s">
        <v>16</v>
      </c>
      <c r="X5" s="173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67.809999999999945</v>
      </c>
      <c r="E6" s="31"/>
      <c r="F6" s="16"/>
      <c r="G6" s="30"/>
      <c r="H6" s="31" t="s">
        <v>18</v>
      </c>
      <c r="I6" s="74">
        <v>1215.8699999999999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8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3" t="s">
        <v>115</v>
      </c>
      <c r="H7" s="31" t="s">
        <v>21</v>
      </c>
      <c r="I7" s="51">
        <v>264.52999999999997</v>
      </c>
      <c r="J7" s="115"/>
      <c r="K7" s="33" t="s">
        <v>22</v>
      </c>
      <c r="L7" s="54">
        <v>500</v>
      </c>
      <c r="M7" s="110" t="s">
        <v>116</v>
      </c>
      <c r="N7" s="104">
        <v>7.77</v>
      </c>
      <c r="O7" s="47"/>
      <c r="P7" s="54">
        <v>16.21</v>
      </c>
      <c r="Q7" s="30" t="s">
        <v>117</v>
      </c>
      <c r="R7" s="54">
        <v>14.55</v>
      </c>
      <c r="S7" s="175" t="s">
        <v>23</v>
      </c>
      <c r="T7" s="206"/>
      <c r="U7" s="46" t="s">
        <v>118</v>
      </c>
      <c r="V7" s="54">
        <v>60</v>
      </c>
      <c r="W7" s="38" t="s">
        <v>25</v>
      </c>
      <c r="X7" s="56">
        <v>50</v>
      </c>
      <c r="Y7" s="16"/>
      <c r="Z7" s="13"/>
      <c r="AA7" s="23"/>
      <c r="AB7" s="24"/>
    </row>
    <row r="8" spans="2:28" ht="16.5">
      <c r="B8" s="33"/>
      <c r="C8" s="33"/>
      <c r="D8" s="31"/>
      <c r="E8" s="31"/>
      <c r="F8" s="16"/>
      <c r="G8" s="203"/>
      <c r="H8" s="31" t="s">
        <v>42</v>
      </c>
      <c r="I8" s="50"/>
      <c r="J8" s="115"/>
      <c r="K8" s="33" t="s">
        <v>26</v>
      </c>
      <c r="L8" s="54"/>
      <c r="M8" s="46" t="s">
        <v>119</v>
      </c>
      <c r="N8" s="54">
        <v>60</v>
      </c>
      <c r="O8" s="38"/>
      <c r="P8" s="54">
        <v>4.6900000000000004</v>
      </c>
      <c r="Q8" s="30" t="s">
        <v>120</v>
      </c>
      <c r="R8" s="54">
        <v>41.95</v>
      </c>
      <c r="S8" s="38" t="s">
        <v>121</v>
      </c>
      <c r="T8" s="54">
        <v>4.5</v>
      </c>
      <c r="U8" s="46" t="s">
        <v>122</v>
      </c>
      <c r="V8" s="54">
        <v>41</v>
      </c>
      <c r="W8" s="38"/>
      <c r="X8" s="56"/>
      <c r="Y8" s="16"/>
      <c r="Z8" s="13"/>
      <c r="AA8" s="23"/>
      <c r="AB8" s="24"/>
    </row>
    <row r="9" spans="2:28" ht="15.75">
      <c r="B9" s="33"/>
      <c r="C9" s="177" t="s">
        <v>29</v>
      </c>
      <c r="D9" s="178"/>
      <c r="E9" s="31"/>
      <c r="F9" s="16"/>
      <c r="G9" s="203" t="s">
        <v>123</v>
      </c>
      <c r="H9" s="31" t="s">
        <v>21</v>
      </c>
      <c r="I9" s="109">
        <v>558.98</v>
      </c>
      <c r="J9" s="115"/>
      <c r="K9" s="33" t="s">
        <v>32</v>
      </c>
      <c r="L9" s="54">
        <v>40</v>
      </c>
      <c r="M9" s="46" t="s">
        <v>124</v>
      </c>
      <c r="N9" s="54">
        <v>36</v>
      </c>
      <c r="O9" s="30"/>
      <c r="P9" s="54">
        <v>25</v>
      </c>
      <c r="Q9" s="30" t="s">
        <v>125</v>
      </c>
      <c r="R9" s="54">
        <v>16.45</v>
      </c>
      <c r="S9" s="38" t="s">
        <v>96</v>
      </c>
      <c r="T9" s="54">
        <v>30.18</v>
      </c>
      <c r="U9" s="46" t="s">
        <v>126</v>
      </c>
      <c r="V9" s="54">
        <v>3.99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4900</v>
      </c>
      <c r="E10" s="31"/>
      <c r="F10" s="16"/>
      <c r="G10" s="203"/>
      <c r="H10" s="31" t="s">
        <v>42</v>
      </c>
      <c r="I10" s="50"/>
      <c r="J10" s="115"/>
      <c r="K10" s="33" t="s">
        <v>36</v>
      </c>
      <c r="L10" s="54">
        <v>6</v>
      </c>
      <c r="M10" s="46" t="s">
        <v>127</v>
      </c>
      <c r="N10" s="54">
        <v>114.53</v>
      </c>
      <c r="O10" s="30"/>
      <c r="P10" s="54">
        <v>6.68</v>
      </c>
      <c r="Q10" s="30" t="s">
        <v>128</v>
      </c>
      <c r="R10" s="54">
        <v>17.489999999999998</v>
      </c>
      <c r="S10" s="38" t="s">
        <v>129</v>
      </c>
      <c r="T10" s="54">
        <v>8.1999999999999993</v>
      </c>
      <c r="U10" s="46" t="s">
        <v>65</v>
      </c>
      <c r="V10" s="54">
        <v>53</v>
      </c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400</v>
      </c>
      <c r="E11" s="31"/>
      <c r="F11" s="16"/>
      <c r="G11" s="203" t="s">
        <v>130</v>
      </c>
      <c r="H11" s="31" t="s">
        <v>39</v>
      </c>
      <c r="I11" s="50">
        <v>490.1</v>
      </c>
      <c r="J11" s="115"/>
      <c r="K11" s="33"/>
      <c r="L11" s="54"/>
      <c r="M11" s="46"/>
      <c r="N11" s="54"/>
      <c r="O11" s="30"/>
      <c r="P11" s="54">
        <v>6</v>
      </c>
      <c r="Q11" s="30" t="s">
        <v>131</v>
      </c>
      <c r="R11" s="54">
        <v>3.6</v>
      </c>
      <c r="S11" s="38" t="s">
        <v>129</v>
      </c>
      <c r="T11" s="54">
        <v>10.99</v>
      </c>
      <c r="U11" s="46" t="s">
        <v>132</v>
      </c>
      <c r="V11" s="54">
        <v>4.5</v>
      </c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5300</v>
      </c>
      <c r="E12" s="147"/>
      <c r="F12" s="149"/>
      <c r="G12" s="203"/>
      <c r="H12" s="31" t="s">
        <v>42</v>
      </c>
      <c r="I12" s="50"/>
      <c r="J12" s="115"/>
      <c r="K12" s="33"/>
      <c r="L12" s="54"/>
      <c r="M12" s="46"/>
      <c r="N12" s="54"/>
      <c r="O12" s="30"/>
      <c r="P12" s="54">
        <v>19.89</v>
      </c>
      <c r="Q12" s="30" t="s">
        <v>131</v>
      </c>
      <c r="R12" s="54">
        <v>3.6</v>
      </c>
      <c r="S12" s="38" t="s">
        <v>133</v>
      </c>
      <c r="T12" s="54">
        <v>12</v>
      </c>
      <c r="U12" s="46" t="s">
        <v>134</v>
      </c>
      <c r="V12" s="54">
        <v>0.99</v>
      </c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7" t="s">
        <v>135</v>
      </c>
      <c r="H13" s="31" t="s">
        <v>21</v>
      </c>
      <c r="I13" s="50">
        <v>495.88</v>
      </c>
      <c r="J13" s="115"/>
      <c r="K13" s="34" t="s">
        <v>41</v>
      </c>
      <c r="L13" s="54"/>
      <c r="M13" s="46"/>
      <c r="N13" s="54"/>
      <c r="O13" s="30"/>
      <c r="P13" s="54">
        <v>61.09</v>
      </c>
      <c r="Q13" s="30" t="s">
        <v>131</v>
      </c>
      <c r="R13" s="54">
        <v>7</v>
      </c>
      <c r="S13" s="142" t="s">
        <v>136</v>
      </c>
      <c r="T13" s="111">
        <v>5.99</v>
      </c>
      <c r="U13" s="142" t="s">
        <v>137</v>
      </c>
      <c r="V13" s="111">
        <v>22</v>
      </c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7"/>
      <c r="H14" s="31" t="s">
        <v>42</v>
      </c>
      <c r="I14" s="50"/>
      <c r="J14" s="115"/>
      <c r="K14" s="33" t="s">
        <v>43</v>
      </c>
      <c r="L14" s="54">
        <v>60</v>
      </c>
      <c r="M14" s="46"/>
      <c r="N14" s="54"/>
      <c r="O14" s="30"/>
      <c r="P14" s="54">
        <v>12.25</v>
      </c>
      <c r="Q14" s="30" t="s">
        <v>93</v>
      </c>
      <c r="R14" s="54">
        <v>42.99</v>
      </c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 customHeight="1">
      <c r="B15" s="33"/>
      <c r="C15" s="33"/>
      <c r="D15" s="33"/>
      <c r="E15" s="36"/>
      <c r="F15" s="18"/>
      <c r="G15" s="145" t="s">
        <v>138</v>
      </c>
      <c r="H15" s="144" t="s">
        <v>139</v>
      </c>
      <c r="I15" s="50">
        <v>250</v>
      </c>
      <c r="J15" s="115"/>
      <c r="K15" s="33" t="s">
        <v>44</v>
      </c>
      <c r="L15" s="54"/>
      <c r="M15" s="46"/>
      <c r="N15" s="54"/>
      <c r="O15" s="30"/>
      <c r="P15" s="54">
        <v>46.7</v>
      </c>
      <c r="Q15" s="30"/>
      <c r="R15" s="54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6.5" customHeight="1">
      <c r="B16" s="33"/>
      <c r="C16" s="33"/>
      <c r="D16" s="33"/>
      <c r="E16" s="36"/>
      <c r="F16" s="18"/>
      <c r="G16" s="145"/>
      <c r="H16" s="144"/>
      <c r="I16" s="52"/>
      <c r="J16" s="115"/>
      <c r="K16" s="33" t="s">
        <v>47</v>
      </c>
      <c r="L16" s="54">
        <v>40</v>
      </c>
      <c r="M16" s="46"/>
      <c r="N16" s="54"/>
      <c r="O16" s="30"/>
      <c r="P16" s="54">
        <v>4</v>
      </c>
      <c r="Q16" s="30"/>
      <c r="R16" s="54"/>
      <c r="S16" s="38"/>
      <c r="T16" s="54"/>
      <c r="U16" s="46" t="s">
        <v>140</v>
      </c>
      <c r="V16" s="54">
        <v>1125</v>
      </c>
      <c r="W16" s="38"/>
      <c r="X16" s="56"/>
      <c r="Y16" s="16"/>
      <c r="Z16" s="13"/>
      <c r="AA16" s="13"/>
      <c r="AB16" s="13"/>
    </row>
    <row r="17" spans="2:28" ht="15.75">
      <c r="B17" s="13"/>
      <c r="D17" s="13"/>
      <c r="E17" s="16"/>
      <c r="F17" s="16"/>
      <c r="G17" s="102"/>
      <c r="H17" s="36"/>
      <c r="I17" s="50"/>
      <c r="J17" s="117"/>
      <c r="K17" s="33" t="s">
        <v>141</v>
      </c>
      <c r="L17" s="54">
        <v>21.6</v>
      </c>
      <c r="M17" s="46"/>
      <c r="N17" s="54"/>
      <c r="O17" s="30"/>
      <c r="P17" s="54">
        <v>10.8</v>
      </c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9"/>
      <c r="F18" s="149"/>
      <c r="G18" s="37"/>
      <c r="H18" s="36"/>
      <c r="I18" s="50"/>
      <c r="J18" s="115"/>
      <c r="K18" s="24"/>
      <c r="L18" s="104"/>
      <c r="M18" s="46"/>
      <c r="N18" s="54"/>
      <c r="O18" s="30"/>
      <c r="P18" s="54">
        <v>4.29</v>
      </c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115"/>
      <c r="K19" s="23"/>
      <c r="L19" s="104"/>
      <c r="M19" s="46"/>
      <c r="N19" s="54"/>
      <c r="O19" s="30"/>
      <c r="P19" s="54">
        <v>42.84</v>
      </c>
      <c r="Q19" s="30"/>
      <c r="R19" s="54"/>
      <c r="S19" s="102"/>
      <c r="U19" s="146"/>
      <c r="V19" s="53"/>
      <c r="W19" s="170" t="s">
        <v>51</v>
      </c>
      <c r="X19" s="180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115"/>
      <c r="K20" s="24"/>
      <c r="L20" s="104"/>
      <c r="M20" s="46"/>
      <c r="N20" s="54"/>
      <c r="O20" s="30"/>
      <c r="P20" s="54">
        <v>2.5</v>
      </c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115"/>
      <c r="K21" s="33"/>
      <c r="L21" s="54"/>
      <c r="M21" s="46"/>
      <c r="N21" s="54"/>
      <c r="O21" s="30"/>
      <c r="P21" s="54">
        <v>15.43</v>
      </c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115"/>
      <c r="K22" s="34" t="s">
        <v>52</v>
      </c>
      <c r="L22" s="54"/>
      <c r="M22" s="46"/>
      <c r="N22" s="54"/>
      <c r="O22" s="30"/>
      <c r="P22" s="54">
        <v>47.77</v>
      </c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3275.36</v>
      </c>
      <c r="J23" s="115"/>
      <c r="K23" s="33"/>
      <c r="L23" s="54"/>
      <c r="M23" s="46"/>
      <c r="N23" s="54"/>
      <c r="O23" s="30"/>
      <c r="P23" s="54">
        <v>0.69</v>
      </c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400</v>
      </c>
      <c r="J24" s="115"/>
      <c r="K24" s="33"/>
      <c r="L24" s="54"/>
      <c r="M24" s="46"/>
      <c r="N24" s="54"/>
      <c r="O24" s="30"/>
      <c r="P24" s="54">
        <v>10.56</v>
      </c>
      <c r="Q24" s="30"/>
      <c r="R24" s="54"/>
      <c r="S24" s="170" t="s">
        <v>53</v>
      </c>
      <c r="T24" s="202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115"/>
      <c r="K25" s="33"/>
      <c r="L25" s="54"/>
      <c r="M25" s="46"/>
      <c r="N25" s="54"/>
      <c r="O25" s="30"/>
      <c r="P25" s="54">
        <v>4.29</v>
      </c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115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115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115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64" t="s">
        <v>6</v>
      </c>
      <c r="H29" s="165"/>
      <c r="I29" s="75">
        <f>I23-I24-I25-I26-I27-I28</f>
        <v>2875.36</v>
      </c>
      <c r="J29" s="118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66" t="s">
        <v>17</v>
      </c>
      <c r="H30" s="166"/>
      <c r="I30" s="98">
        <f>I29-Q32</f>
        <v>67.809999999999945</v>
      </c>
      <c r="J30" s="167">
        <f>SUM(L7:L29)</f>
        <v>667.6</v>
      </c>
      <c r="K30" s="167"/>
      <c r="L30" s="167"/>
      <c r="M30" s="168">
        <f>SUM(N7:N29)</f>
        <v>218.3</v>
      </c>
      <c r="N30" s="169"/>
      <c r="O30" s="168">
        <f>SUM(P7:P29)</f>
        <v>341.68</v>
      </c>
      <c r="P30" s="167"/>
      <c r="Q30" s="154">
        <f>SUM(R7:R29)</f>
        <v>147.63</v>
      </c>
      <c r="R30" s="155"/>
      <c r="S30" s="154">
        <f>SUM(T7:T29)</f>
        <v>71.86</v>
      </c>
      <c r="T30" s="155"/>
      <c r="U30" s="154">
        <f>SUM(V7:V29)</f>
        <v>1310.48</v>
      </c>
      <c r="V30" s="156"/>
      <c r="W30" s="154">
        <f>SUM(X7:X29)</f>
        <v>50</v>
      </c>
      <c r="X30" s="156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57">
        <f>SUM(J30:P30)</f>
        <v>1227.5800000000002</v>
      </c>
      <c r="K31" s="157"/>
      <c r="L31" s="157"/>
      <c r="M31" s="157"/>
      <c r="N31" s="157"/>
      <c r="O31" s="157"/>
      <c r="P31" s="157"/>
      <c r="Q31" s="158">
        <f>SUM(Q30:X30)</f>
        <v>1579.97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2807.55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50" t="s">
        <v>114</v>
      </c>
      <c r="K33" s="151"/>
      <c r="L33" s="151"/>
      <c r="M33" s="151"/>
      <c r="N33" s="151"/>
      <c r="O33" s="151"/>
      <c r="P33" s="151"/>
      <c r="Q33" s="152">
        <f>1500-Q32</f>
        <v>-1307.5500000000002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6" spans="2:26">
      <c r="I36" s="140"/>
      <c r="J36" s="140"/>
      <c r="K36" s="141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S24:T24"/>
    <mergeCell ref="W5:X5"/>
    <mergeCell ref="G7:G8"/>
    <mergeCell ref="S7:T7"/>
    <mergeCell ref="C9:D9"/>
    <mergeCell ref="G9:G10"/>
    <mergeCell ref="G11:G12"/>
    <mergeCell ref="G13:G14"/>
    <mergeCell ref="S15:T15"/>
    <mergeCell ref="U15:V15"/>
    <mergeCell ref="W19:X19"/>
    <mergeCell ref="G29:H29"/>
    <mergeCell ref="G30:H30"/>
    <mergeCell ref="J30:L30"/>
    <mergeCell ref="M30:N30"/>
    <mergeCell ref="O30:P30"/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</mergeCells>
  <hyperlinks>
    <hyperlink ref="G7:G8" r:id="rId1" display="3 \ 6" xr:uid="{7B58461C-2985-4BD6-98B7-E39E7EA60B34}"/>
    <hyperlink ref="G11:G12" r:id="rId2" display="17 \ 6" xr:uid="{F40D2882-5289-47A9-9F1C-C4E4CB56DB57}"/>
    <hyperlink ref="G9:G10" r:id="rId3" display="10 \ 6" xr:uid="{E4FB813D-781A-4D35-95AA-99E7ED9FD331}"/>
    <hyperlink ref="G13:G14" r:id="rId4" display=" 24 \ 6 " xr:uid="{723492F5-CDCD-4B9C-AA48-B55261F645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9BCC-214C-402E-8D83-AEBAA81B9D2B}">
  <sheetPr>
    <tabColor theme="5"/>
  </sheetPr>
  <dimension ref="B2:AB39"/>
  <sheetViews>
    <sheetView tabSelected="1" topLeftCell="F3" workbookViewId="0">
      <selection activeCell="O19" sqref="O19"/>
    </sheetView>
  </sheetViews>
  <sheetFormatPr defaultRowHeight="15"/>
  <cols>
    <col min="3" max="3" width="23.42578125" customWidth="1"/>
    <col min="4" max="4" width="13.42578125" customWidth="1"/>
    <col min="5" max="5" width="9.140625" bestFit="1" customWidth="1"/>
    <col min="6" max="6" width="10.28515625" customWidth="1"/>
    <col min="7" max="7" width="9.140625" bestFit="1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8" max="18" width="9.140625" bestFit="1" customWidth="1"/>
    <col min="19" max="19" width="16.42578125" customWidth="1"/>
    <col min="20" max="20" width="10.5703125" customWidth="1"/>
    <col min="21" max="21" width="18.7109375" customWidth="1"/>
    <col min="22" max="22" width="13" customWidth="1"/>
    <col min="23" max="23" width="19.42578125" customWidth="1"/>
    <col min="24" max="24" width="18.7109375" customWidth="1"/>
    <col min="25" max="26" width="9.140625" bestFit="1" customWidth="1"/>
    <col min="27" max="27" width="22.28515625" customWidth="1"/>
    <col min="28" max="28" width="85.85546875" customWidth="1"/>
  </cols>
  <sheetData>
    <row r="2" spans="2:28" ht="17.25" thickBo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 customHeight="1" thickBot="1">
      <c r="B3" s="13"/>
      <c r="C3" s="65" t="s">
        <v>0</v>
      </c>
      <c r="D3" s="66">
        <f>J31</f>
        <v>721.41000000000008</v>
      </c>
      <c r="E3" s="14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121"/>
      <c r="AB3" s="121"/>
    </row>
    <row r="4" spans="2:28" ht="21" customHeight="1" thickBot="1">
      <c r="B4" s="13"/>
      <c r="C4" s="67" t="s">
        <v>3</v>
      </c>
      <c r="D4" s="68">
        <f>Q31</f>
        <v>182.99</v>
      </c>
      <c r="E4" s="14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121"/>
      <c r="AB4" s="121"/>
    </row>
    <row r="5" spans="2:28" ht="16.5">
      <c r="B5" s="13"/>
      <c r="C5" s="69" t="s">
        <v>6</v>
      </c>
      <c r="D5" s="70">
        <f>D4+D3</f>
        <v>904.40000000000009</v>
      </c>
      <c r="E5" s="149"/>
      <c r="F5" s="149"/>
      <c r="G5" s="28" t="s">
        <v>7</v>
      </c>
      <c r="H5" s="122" t="s">
        <v>8</v>
      </c>
      <c r="I5" s="122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0" t="s">
        <v>15</v>
      </c>
      <c r="V5" s="201"/>
      <c r="W5" s="172" t="s">
        <v>16</v>
      </c>
      <c r="X5" s="173"/>
      <c r="Y5" s="123"/>
      <c r="Z5" s="123"/>
      <c r="AA5" s="121"/>
      <c r="AB5" s="13"/>
    </row>
    <row r="6" spans="2:28" ht="17.25" thickBot="1">
      <c r="B6" s="13"/>
      <c r="C6" s="71" t="s">
        <v>17</v>
      </c>
      <c r="D6" s="62">
        <f>I30</f>
        <v>433.93000000000006</v>
      </c>
      <c r="E6" s="16"/>
      <c r="F6" s="16"/>
      <c r="G6" s="30"/>
      <c r="H6" s="16" t="s">
        <v>18</v>
      </c>
      <c r="I6" s="124">
        <v>67.81</v>
      </c>
      <c r="J6" s="40" t="s">
        <v>7</v>
      </c>
      <c r="K6" s="17" t="s">
        <v>19</v>
      </c>
      <c r="L6" s="125" t="s">
        <v>9</v>
      </c>
      <c r="M6" s="45" t="s">
        <v>19</v>
      </c>
      <c r="N6" s="125" t="s">
        <v>9</v>
      </c>
      <c r="O6" s="45" t="s">
        <v>19</v>
      </c>
      <c r="P6" s="125" t="s">
        <v>9</v>
      </c>
      <c r="Q6" s="45" t="s">
        <v>19</v>
      </c>
      <c r="R6" s="125" t="s">
        <v>9</v>
      </c>
      <c r="S6" s="45" t="s">
        <v>19</v>
      </c>
      <c r="T6" s="126" t="s">
        <v>9</v>
      </c>
      <c r="U6" s="45" t="s">
        <v>19</v>
      </c>
      <c r="V6" s="126" t="s">
        <v>9</v>
      </c>
      <c r="W6" s="45" t="s">
        <v>19</v>
      </c>
      <c r="X6" s="148" t="s">
        <v>9</v>
      </c>
      <c r="Y6" s="17"/>
      <c r="Z6" s="13"/>
      <c r="AA6" s="121"/>
      <c r="AB6" s="13"/>
    </row>
    <row r="7" spans="2:28" ht="15.75">
      <c r="B7" s="13"/>
      <c r="C7" s="13"/>
      <c r="D7" s="18"/>
      <c r="E7" s="16"/>
      <c r="F7" s="16"/>
      <c r="G7" s="174" t="s">
        <v>142</v>
      </c>
      <c r="H7" s="16" t="s">
        <v>21</v>
      </c>
      <c r="I7" s="127">
        <v>508.71</v>
      </c>
      <c r="J7" s="44"/>
      <c r="K7" s="13" t="s">
        <v>22</v>
      </c>
      <c r="L7" s="128">
        <v>500</v>
      </c>
      <c r="M7" s="46"/>
      <c r="N7" s="128">
        <v>3.29</v>
      </c>
      <c r="O7" s="47"/>
      <c r="P7" s="128">
        <v>163.32</v>
      </c>
      <c r="Q7" s="30" t="s">
        <v>143</v>
      </c>
      <c r="R7" s="128">
        <v>42</v>
      </c>
      <c r="S7" s="175" t="s">
        <v>23</v>
      </c>
      <c r="T7" s="176"/>
      <c r="U7" s="46" t="s">
        <v>122</v>
      </c>
      <c r="V7" s="128">
        <v>41</v>
      </c>
      <c r="W7" s="38"/>
      <c r="X7" s="56"/>
      <c r="Y7" s="16"/>
      <c r="Z7" s="13"/>
      <c r="AA7" s="121"/>
      <c r="AB7" s="13"/>
    </row>
    <row r="8" spans="2:28" ht="16.5" customHeight="1" thickBot="1">
      <c r="B8" s="13"/>
      <c r="C8" s="13"/>
      <c r="D8" s="16"/>
      <c r="E8" s="16"/>
      <c r="F8" s="16"/>
      <c r="G8" s="174"/>
      <c r="H8" s="16" t="s">
        <v>42</v>
      </c>
      <c r="I8" s="129"/>
      <c r="J8" s="44"/>
      <c r="K8" s="13" t="s">
        <v>26</v>
      </c>
      <c r="L8" s="128"/>
      <c r="M8" s="46"/>
      <c r="N8" s="128"/>
      <c r="O8" s="38"/>
      <c r="P8" s="128"/>
      <c r="Q8" s="30" t="s">
        <v>144</v>
      </c>
      <c r="R8" s="128">
        <v>32</v>
      </c>
      <c r="S8" s="38" t="s">
        <v>145</v>
      </c>
      <c r="T8" s="128">
        <v>38</v>
      </c>
      <c r="U8" s="46" t="s">
        <v>146</v>
      </c>
      <c r="V8" s="128"/>
      <c r="W8" s="38"/>
      <c r="X8" s="56"/>
      <c r="Y8" s="16"/>
      <c r="Z8" s="13"/>
      <c r="AA8" s="121"/>
      <c r="AB8" s="13"/>
    </row>
    <row r="9" spans="2:28" ht="15.75">
      <c r="B9" s="13"/>
      <c r="C9" s="177" t="s">
        <v>29</v>
      </c>
      <c r="D9" s="178"/>
      <c r="E9" s="16"/>
      <c r="F9" s="16"/>
      <c r="G9" s="174" t="s">
        <v>147</v>
      </c>
      <c r="H9" s="16" t="s">
        <v>21</v>
      </c>
      <c r="I9" s="130">
        <v>448.11</v>
      </c>
      <c r="J9" s="44"/>
      <c r="K9" s="13" t="s">
        <v>32</v>
      </c>
      <c r="L9" s="128"/>
      <c r="M9" s="46"/>
      <c r="N9" s="128"/>
      <c r="O9" s="30"/>
      <c r="P9" s="128"/>
      <c r="Q9" s="30"/>
      <c r="R9" s="128"/>
      <c r="S9" s="38"/>
      <c r="T9" s="128"/>
      <c r="U9" s="46" t="s">
        <v>148</v>
      </c>
      <c r="V9" s="128">
        <v>1</v>
      </c>
      <c r="W9" s="38"/>
      <c r="X9" s="56"/>
      <c r="Y9" s="16"/>
      <c r="Z9" s="13"/>
      <c r="AA9" s="121"/>
      <c r="AB9" s="13"/>
    </row>
    <row r="10" spans="2:28" ht="15.75">
      <c r="B10" s="13"/>
      <c r="C10" s="38" t="s">
        <v>35</v>
      </c>
      <c r="D10" s="22">
        <v>5100</v>
      </c>
      <c r="E10" s="16"/>
      <c r="F10" s="16"/>
      <c r="G10" s="174"/>
      <c r="H10" s="16" t="s">
        <v>42</v>
      </c>
      <c r="I10" s="129"/>
      <c r="J10" s="44"/>
      <c r="K10" s="13" t="s">
        <v>36</v>
      </c>
      <c r="L10" s="128">
        <v>6</v>
      </c>
      <c r="M10" s="46"/>
      <c r="N10" s="128"/>
      <c r="O10" s="30"/>
      <c r="P10" s="128"/>
      <c r="Q10" s="30"/>
      <c r="R10" s="128"/>
      <c r="S10" s="38"/>
      <c r="T10" s="128"/>
      <c r="U10" s="46" t="s">
        <v>137</v>
      </c>
      <c r="V10" s="128"/>
      <c r="W10" s="38"/>
      <c r="X10" s="56"/>
      <c r="Y10" s="16"/>
      <c r="Z10" s="13"/>
      <c r="AA10" s="121"/>
      <c r="AB10" s="13"/>
    </row>
    <row r="11" spans="2:28" ht="15.75">
      <c r="B11" s="13"/>
      <c r="C11" s="38" t="s">
        <v>37</v>
      </c>
      <c r="D11" s="22">
        <v>200</v>
      </c>
      <c r="E11" s="16"/>
      <c r="F11" s="16"/>
      <c r="G11" s="174" t="s">
        <v>149</v>
      </c>
      <c r="H11" s="16" t="s">
        <v>39</v>
      </c>
      <c r="I11" s="129">
        <v>513.70000000000005</v>
      </c>
      <c r="J11" s="44"/>
      <c r="K11" s="13"/>
      <c r="L11" s="128"/>
      <c r="M11" s="46"/>
      <c r="N11" s="128"/>
      <c r="O11" s="30"/>
      <c r="P11" s="128"/>
      <c r="Q11" s="30"/>
      <c r="R11" s="128"/>
      <c r="S11" s="38"/>
      <c r="T11" s="128"/>
      <c r="U11" s="46" t="s">
        <v>150</v>
      </c>
      <c r="V11" s="128">
        <v>10.99</v>
      </c>
      <c r="W11" s="38"/>
      <c r="X11" s="56"/>
      <c r="Y11" s="16"/>
      <c r="Z11" s="13"/>
    </row>
    <row r="12" spans="2:28" ht="16.5" customHeight="1" thickBot="1">
      <c r="B12" s="13"/>
      <c r="C12" s="72" t="s">
        <v>6</v>
      </c>
      <c r="D12" s="73">
        <f>SUM(D10:D11)</f>
        <v>5300</v>
      </c>
      <c r="E12" s="149"/>
      <c r="F12" s="149"/>
      <c r="G12" s="174"/>
      <c r="H12" s="16" t="s">
        <v>42</v>
      </c>
      <c r="I12" s="129"/>
      <c r="J12" s="44"/>
      <c r="K12" s="13"/>
      <c r="L12" s="128"/>
      <c r="M12" s="46"/>
      <c r="N12" s="128"/>
      <c r="O12" s="30"/>
      <c r="P12" s="128"/>
      <c r="Q12" s="30"/>
      <c r="R12" s="128"/>
      <c r="S12" s="38"/>
      <c r="T12" s="128"/>
      <c r="U12" s="46"/>
      <c r="V12" s="128"/>
      <c r="W12" s="38"/>
      <c r="X12" s="56"/>
      <c r="Y12" s="16"/>
      <c r="Z12" s="13"/>
      <c r="AA12" s="13"/>
      <c r="AB12" s="13"/>
    </row>
    <row r="13" spans="2:28" ht="15.75">
      <c r="B13" s="13"/>
      <c r="C13" s="13"/>
      <c r="D13" s="13"/>
      <c r="E13" s="18"/>
      <c r="F13" s="18"/>
      <c r="G13" s="179" t="s">
        <v>151</v>
      </c>
      <c r="H13" s="16" t="s">
        <v>21</v>
      </c>
      <c r="I13" s="129"/>
      <c r="J13" s="44"/>
      <c r="K13" s="121" t="s">
        <v>41</v>
      </c>
      <c r="L13" s="128"/>
      <c r="M13" s="46"/>
      <c r="N13" s="128"/>
      <c r="O13" s="30"/>
      <c r="P13" s="128"/>
      <c r="Q13" s="30"/>
      <c r="R13" s="128"/>
      <c r="S13" s="47"/>
      <c r="T13" s="131"/>
      <c r="U13" s="142"/>
      <c r="V13" s="131"/>
      <c r="W13" s="47"/>
      <c r="X13" s="132"/>
      <c r="Y13" s="16"/>
      <c r="Z13" s="13"/>
      <c r="AA13" s="13"/>
      <c r="AB13" s="13"/>
    </row>
    <row r="14" spans="2:28" ht="16.5">
      <c r="B14" s="13"/>
      <c r="E14" s="133"/>
      <c r="F14" s="18"/>
      <c r="G14" s="179"/>
      <c r="H14" s="16" t="s">
        <v>42</v>
      </c>
      <c r="I14" s="129"/>
      <c r="J14" s="44"/>
      <c r="K14" s="13" t="s">
        <v>43</v>
      </c>
      <c r="L14" s="128"/>
      <c r="M14" s="46"/>
      <c r="N14" s="128"/>
      <c r="O14" s="30"/>
      <c r="P14" s="128"/>
      <c r="Q14" s="30"/>
      <c r="R14" s="128"/>
      <c r="S14" s="38"/>
      <c r="T14" s="128"/>
      <c r="U14" s="46"/>
      <c r="V14" s="128"/>
      <c r="W14" s="38"/>
      <c r="X14" s="56"/>
      <c r="Y14" s="16"/>
      <c r="Z14" s="13"/>
      <c r="AA14" s="13"/>
      <c r="AB14" s="13"/>
    </row>
    <row r="15" spans="2:28" ht="16.5">
      <c r="B15" s="13"/>
      <c r="C15" s="13"/>
      <c r="D15" s="13"/>
      <c r="E15" s="18"/>
      <c r="F15" s="18"/>
      <c r="G15" s="179" t="s">
        <v>152</v>
      </c>
      <c r="H15" s="16" t="s">
        <v>21</v>
      </c>
      <c r="I15" s="129"/>
      <c r="J15" s="44"/>
      <c r="K15" s="13" t="s">
        <v>44</v>
      </c>
      <c r="L15" s="128"/>
      <c r="M15" s="46"/>
      <c r="N15" s="128"/>
      <c r="O15" s="30"/>
      <c r="P15" s="128"/>
      <c r="Q15" s="30"/>
      <c r="R15" s="128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6.5">
      <c r="B16" s="13"/>
      <c r="C16" s="13"/>
      <c r="D16" s="13"/>
      <c r="E16" s="18"/>
      <c r="F16" s="18"/>
      <c r="G16" s="179"/>
      <c r="H16" s="16" t="s">
        <v>42</v>
      </c>
      <c r="I16" s="134"/>
      <c r="J16" s="44"/>
      <c r="K16" s="13" t="s">
        <v>47</v>
      </c>
      <c r="L16" s="128">
        <v>35.200000000000003</v>
      </c>
      <c r="M16" s="46"/>
      <c r="N16" s="128"/>
      <c r="O16" s="30"/>
      <c r="P16" s="128"/>
      <c r="Q16" s="30"/>
      <c r="R16" s="128"/>
      <c r="S16" s="38" t="s">
        <v>153</v>
      </c>
      <c r="T16" s="128">
        <v>18</v>
      </c>
      <c r="U16" s="46"/>
      <c r="V16" s="128"/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02"/>
      <c r="H17" s="18"/>
      <c r="I17" s="129"/>
      <c r="J17" s="43"/>
      <c r="K17" s="13" t="s">
        <v>154</v>
      </c>
      <c r="L17" s="128">
        <v>10</v>
      </c>
      <c r="M17" s="46"/>
      <c r="N17" s="128"/>
      <c r="O17" s="30"/>
      <c r="P17" s="128"/>
      <c r="Q17" s="30"/>
      <c r="R17" s="128"/>
      <c r="S17" s="38"/>
      <c r="T17" s="128"/>
      <c r="U17" s="46"/>
      <c r="V17" s="128"/>
      <c r="W17" s="47"/>
      <c r="X17" s="56"/>
      <c r="Y17" s="16"/>
      <c r="Z17" s="13"/>
      <c r="AA17" s="13"/>
      <c r="AB17" s="13"/>
    </row>
    <row r="18" spans="2:28" ht="16.5">
      <c r="B18" s="13"/>
      <c r="E18" s="149"/>
      <c r="F18" s="149"/>
      <c r="G18" s="37"/>
      <c r="H18" s="18"/>
      <c r="I18" s="129"/>
      <c r="J18" s="44"/>
      <c r="K18" s="13"/>
      <c r="L18" s="128">
        <v>3.6</v>
      </c>
      <c r="M18" s="46"/>
      <c r="N18" s="128"/>
      <c r="O18" s="30"/>
      <c r="P18" s="128"/>
      <c r="Q18" s="30"/>
      <c r="R18" s="128"/>
      <c r="S18" s="38"/>
      <c r="T18" s="128"/>
      <c r="U18" s="46"/>
      <c r="V18" s="128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18"/>
      <c r="I19" s="129"/>
      <c r="J19" s="44"/>
      <c r="K19" s="121"/>
      <c r="L19" s="128"/>
      <c r="M19" s="46"/>
      <c r="N19" s="128"/>
      <c r="O19" s="30"/>
      <c r="P19" s="128"/>
      <c r="Q19" s="30"/>
      <c r="R19" s="128"/>
      <c r="S19" s="102"/>
      <c r="U19" s="146"/>
      <c r="V19" s="125"/>
      <c r="W19" s="170" t="s">
        <v>51</v>
      </c>
      <c r="X19" s="180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18"/>
      <c r="I20" s="129"/>
      <c r="J20" s="44"/>
      <c r="K20" s="13"/>
      <c r="L20" s="128"/>
      <c r="M20" s="46"/>
      <c r="N20" s="128"/>
      <c r="O20" s="30"/>
      <c r="P20" s="128"/>
      <c r="Q20" s="30"/>
      <c r="R20" s="128"/>
      <c r="S20" s="102"/>
      <c r="U20" s="46"/>
      <c r="V20" s="128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13"/>
      <c r="I21" s="129"/>
      <c r="J21" s="44"/>
      <c r="K21" s="13"/>
      <c r="L21" s="128"/>
      <c r="M21" s="46"/>
      <c r="N21" s="128"/>
      <c r="O21" s="30"/>
      <c r="P21" s="128"/>
      <c r="Q21" s="30"/>
      <c r="R21" s="128"/>
      <c r="S21" s="102"/>
      <c r="U21" s="46"/>
      <c r="V21" s="128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13"/>
      <c r="I22" s="129"/>
      <c r="J22" s="44"/>
      <c r="K22" s="121" t="s">
        <v>52</v>
      </c>
      <c r="L22" s="128"/>
      <c r="M22" s="46"/>
      <c r="N22" s="128"/>
      <c r="O22" s="30"/>
      <c r="P22" s="128"/>
      <c r="Q22" s="30"/>
      <c r="R22" s="128"/>
      <c r="S22" s="38"/>
      <c r="T22" s="128"/>
      <c r="U22" s="46"/>
      <c r="V22" s="128"/>
      <c r="W22" s="135"/>
      <c r="X22" s="136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137" t="s">
        <v>6</v>
      </c>
      <c r="I23" s="138">
        <f>SUM(I6:I22)</f>
        <v>1538.3300000000002</v>
      </c>
      <c r="J23" s="44"/>
      <c r="K23" s="13"/>
      <c r="L23" s="128"/>
      <c r="M23" s="46"/>
      <c r="N23" s="128"/>
      <c r="O23" s="30"/>
      <c r="P23" s="128"/>
      <c r="Q23" s="30"/>
      <c r="R23" s="128"/>
      <c r="S23" s="38"/>
      <c r="T23" s="128"/>
      <c r="U23" s="46"/>
      <c r="V23" s="128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13" t="s">
        <v>29</v>
      </c>
      <c r="I24" s="129">
        <v>200</v>
      </c>
      <c r="J24" s="44"/>
      <c r="K24" s="13"/>
      <c r="L24" s="128"/>
      <c r="M24" s="46"/>
      <c r="N24" s="128"/>
      <c r="O24" s="30"/>
      <c r="P24" s="128"/>
      <c r="Q24" s="30"/>
      <c r="R24" s="128"/>
      <c r="S24" s="170" t="s">
        <v>53</v>
      </c>
      <c r="T24" s="171"/>
      <c r="U24" s="46"/>
      <c r="V24" s="128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13"/>
      <c r="I25" s="129"/>
      <c r="J25" s="44"/>
      <c r="K25" s="13"/>
      <c r="L25" s="128"/>
      <c r="M25" s="46"/>
      <c r="N25" s="128"/>
      <c r="O25" s="30"/>
      <c r="P25" s="128"/>
      <c r="Q25" s="30"/>
      <c r="R25" s="128"/>
      <c r="S25" s="38"/>
      <c r="T25" s="128"/>
      <c r="U25" s="46"/>
      <c r="V25" s="128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13"/>
      <c r="I26" s="129"/>
      <c r="J26" s="44"/>
      <c r="K26" s="13"/>
      <c r="L26" s="128"/>
      <c r="M26" s="46"/>
      <c r="N26" s="128"/>
      <c r="O26" s="30"/>
      <c r="P26" s="128"/>
      <c r="Q26" s="30"/>
      <c r="R26" s="128"/>
      <c r="S26" s="38"/>
      <c r="T26" s="128"/>
      <c r="U26" s="46"/>
      <c r="V26" s="128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13"/>
      <c r="I27" s="129"/>
      <c r="J27" s="44"/>
      <c r="K27" s="13"/>
      <c r="L27" s="128"/>
      <c r="M27" s="46"/>
      <c r="N27" s="128"/>
      <c r="O27" s="30"/>
      <c r="P27" s="128"/>
      <c r="Q27" s="30"/>
      <c r="R27" s="128"/>
      <c r="S27" s="38"/>
      <c r="T27" s="128"/>
      <c r="U27" s="46"/>
      <c r="V27" s="128"/>
      <c r="W27" s="38"/>
      <c r="X27" s="56"/>
      <c r="Y27" s="16"/>
      <c r="Z27" s="13"/>
    </row>
    <row r="28" spans="2:28" ht="17.25" thickBot="1">
      <c r="B28" s="13"/>
      <c r="F28" s="13"/>
      <c r="G28" s="38"/>
      <c r="H28" s="13"/>
      <c r="I28" s="129"/>
      <c r="J28" s="44"/>
      <c r="K28" s="13"/>
      <c r="L28" s="128"/>
      <c r="M28" s="46"/>
      <c r="N28" s="128"/>
      <c r="O28" s="30"/>
      <c r="P28" s="128"/>
      <c r="Q28" s="30"/>
      <c r="R28" s="128"/>
      <c r="S28" s="38"/>
      <c r="T28" s="128"/>
      <c r="U28" s="46"/>
      <c r="V28" s="128"/>
      <c r="W28" s="38"/>
      <c r="X28" s="56"/>
      <c r="Y28" s="16"/>
      <c r="Z28" s="13"/>
    </row>
    <row r="29" spans="2:28" ht="16.5" customHeight="1" thickBot="1">
      <c r="B29" s="13"/>
      <c r="F29" s="13"/>
      <c r="G29" s="164" t="s">
        <v>6</v>
      </c>
      <c r="H29" s="165"/>
      <c r="I29" s="75">
        <f>I23-I24-I25-I26-I27-I28</f>
        <v>1338.3300000000002</v>
      </c>
      <c r="J29" s="139"/>
      <c r="K29" s="13"/>
      <c r="L29" s="128"/>
      <c r="M29" s="46"/>
      <c r="N29" s="128"/>
      <c r="O29" s="30"/>
      <c r="P29" s="128"/>
      <c r="Q29" s="30"/>
      <c r="R29" s="128"/>
      <c r="S29" s="38"/>
      <c r="T29" s="128"/>
      <c r="U29" s="46"/>
      <c r="V29" s="128"/>
      <c r="W29" s="38"/>
      <c r="X29" s="56"/>
      <c r="Y29" s="16"/>
      <c r="Z29" s="13"/>
    </row>
    <row r="30" spans="2:28" ht="16.5" customHeight="1" thickBot="1">
      <c r="B30" s="13"/>
      <c r="E30" s="13"/>
      <c r="F30" s="13"/>
      <c r="G30" s="166" t="s">
        <v>17</v>
      </c>
      <c r="H30" s="166"/>
      <c r="I30" s="98">
        <f>I29-Q32</f>
        <v>433.93000000000006</v>
      </c>
      <c r="J30" s="167">
        <f>SUM(L7:L29)</f>
        <v>554.80000000000007</v>
      </c>
      <c r="K30" s="167"/>
      <c r="L30" s="167"/>
      <c r="M30" s="168">
        <f>SUM(N7:N29)</f>
        <v>3.29</v>
      </c>
      <c r="N30" s="169"/>
      <c r="O30" s="168">
        <f>SUM(P7:P29)</f>
        <v>163.32</v>
      </c>
      <c r="P30" s="167"/>
      <c r="Q30" s="154">
        <f>SUM(R7:R29)</f>
        <v>74</v>
      </c>
      <c r="R30" s="155"/>
      <c r="S30" s="154">
        <f>SUM(T7:T29)</f>
        <v>56</v>
      </c>
      <c r="T30" s="155"/>
      <c r="U30" s="154">
        <f>SUM(V7:V29)</f>
        <v>52.99</v>
      </c>
      <c r="V30" s="156"/>
      <c r="W30" s="154">
        <f>SUM(X7:X29)</f>
        <v>0</v>
      </c>
      <c r="X30" s="156"/>
      <c r="Y30" s="16"/>
      <c r="Z30" s="13"/>
    </row>
    <row r="31" spans="2:28" ht="16.5" customHeight="1" thickBot="1">
      <c r="B31" s="13"/>
      <c r="E31" s="13"/>
      <c r="F31" s="13"/>
      <c r="G31" s="99"/>
      <c r="H31" s="99"/>
      <c r="I31" s="100"/>
      <c r="J31" s="157">
        <f>SUM(J30:P30)</f>
        <v>721.41000000000008</v>
      </c>
      <c r="K31" s="157"/>
      <c r="L31" s="157"/>
      <c r="M31" s="157"/>
      <c r="N31" s="157"/>
      <c r="O31" s="157"/>
      <c r="P31" s="157"/>
      <c r="Q31" s="158">
        <f>SUM(Q30:X30)</f>
        <v>182.99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13"/>
      <c r="H32" s="16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904.40000000000009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 customHeight="1" thickBot="1">
      <c r="B33" s="13"/>
      <c r="E33" s="13"/>
      <c r="F33" s="13"/>
      <c r="G33" s="13"/>
      <c r="H33" s="13"/>
      <c r="I33" s="13"/>
      <c r="J33" s="150" t="s">
        <v>114</v>
      </c>
      <c r="K33" s="151"/>
      <c r="L33" s="151"/>
      <c r="M33" s="151"/>
      <c r="N33" s="151"/>
      <c r="O33" s="151"/>
      <c r="P33" s="151"/>
      <c r="Q33" s="152">
        <f>1500-Q32</f>
        <v>595.59999999999991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6" spans="2:26">
      <c r="I36" s="140"/>
      <c r="J36" s="140"/>
      <c r="K36" s="141"/>
    </row>
    <row r="37" spans="2:26">
      <c r="H37" s="20"/>
      <c r="L37" s="12"/>
      <c r="M37" s="12"/>
      <c r="N37" s="12"/>
    </row>
    <row r="39" spans="2:26">
      <c r="H39" s="20"/>
    </row>
  </sheetData>
  <mergeCells count="37"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S24:T24"/>
    <mergeCell ref="W5:X5"/>
    <mergeCell ref="G7:G8"/>
    <mergeCell ref="S7:T7"/>
    <mergeCell ref="C9:D9"/>
    <mergeCell ref="G9:G10"/>
    <mergeCell ref="G11:G12"/>
    <mergeCell ref="G13:G14"/>
    <mergeCell ref="G15:G16"/>
    <mergeCell ref="S15:T15"/>
    <mergeCell ref="U15:V15"/>
    <mergeCell ref="W19:X19"/>
    <mergeCell ref="G29:H29"/>
    <mergeCell ref="G30:H30"/>
    <mergeCell ref="J30:L30"/>
    <mergeCell ref="M30:N30"/>
    <mergeCell ref="O30:P30"/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</mergeCells>
  <hyperlinks>
    <hyperlink ref="G7:G8" r:id="rId1" display="1 \ 7" xr:uid="{0B3CEF19-EB24-4282-B158-C44AF9BA93A8}"/>
    <hyperlink ref="G9:G10" r:id="rId2" display="8 \ 7" xr:uid="{6880D5F8-904C-4989-A997-38B070212D89}"/>
    <hyperlink ref="G11:G12" r:id="rId3" display="15 \ 7" xr:uid="{E89E52C4-6F8F-46E9-8A6B-71E7AB9B4FF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DF7-6A02-4524-B2D1-A2A7C2F42797}">
  <sheetPr>
    <tabColor theme="5"/>
  </sheetPr>
  <dimension ref="B2:AB39"/>
  <sheetViews>
    <sheetView topLeftCell="E1" workbookViewId="0">
      <selection activeCell="I20" sqref="I20"/>
    </sheetView>
  </sheetViews>
  <sheetFormatPr defaultRowHeight="15"/>
  <cols>
    <col min="3" max="3" width="23.42578125" customWidth="1"/>
    <col min="4" max="4" width="13.42578125" customWidth="1"/>
    <col min="5" max="5" width="9.140625" bestFit="1" customWidth="1"/>
    <col min="6" max="6" width="10.28515625" customWidth="1"/>
    <col min="7" max="7" width="9.140625" bestFit="1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8" max="18" width="9.140625" bestFit="1" customWidth="1"/>
    <col min="19" max="19" width="16.42578125" customWidth="1"/>
    <col min="20" max="20" width="10.5703125" customWidth="1"/>
    <col min="21" max="21" width="18.7109375" customWidth="1"/>
    <col min="22" max="22" width="13" customWidth="1"/>
    <col min="23" max="23" width="19.42578125" customWidth="1"/>
    <col min="24" max="24" width="18.7109375" customWidth="1"/>
    <col min="25" max="26" width="9.140625" bestFit="1" customWidth="1"/>
    <col min="27" max="27" width="22.28515625" customWidth="1"/>
    <col min="28" max="28" width="85.85546875" customWidth="1"/>
  </cols>
  <sheetData>
    <row r="2" spans="2:28" ht="15.7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 customHeight="1">
      <c r="B3" s="13"/>
      <c r="C3" s="65" t="s">
        <v>0</v>
      </c>
      <c r="D3" s="66">
        <f>J31</f>
        <v>6</v>
      </c>
      <c r="E3" s="14"/>
      <c r="F3" s="14"/>
      <c r="G3" s="183" t="s">
        <v>1</v>
      </c>
      <c r="H3" s="184"/>
      <c r="I3" s="184"/>
      <c r="J3" s="188" t="s">
        <v>2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5"/>
      <c r="Z3" s="13"/>
      <c r="AA3" s="121"/>
      <c r="AB3" s="121"/>
    </row>
    <row r="4" spans="2:28" ht="21" customHeight="1">
      <c r="B4" s="13"/>
      <c r="C4" s="67" t="s">
        <v>3</v>
      </c>
      <c r="D4" s="68">
        <f>Q31</f>
        <v>0</v>
      </c>
      <c r="E4" s="14"/>
      <c r="F4" s="14"/>
      <c r="G4" s="185"/>
      <c r="H4" s="186"/>
      <c r="I4" s="187"/>
      <c r="J4" s="191" t="s">
        <v>4</v>
      </c>
      <c r="K4" s="192"/>
      <c r="L4" s="192"/>
      <c r="M4" s="192"/>
      <c r="N4" s="192"/>
      <c r="O4" s="192"/>
      <c r="P4" s="193"/>
      <c r="Q4" s="194" t="s">
        <v>5</v>
      </c>
      <c r="R4" s="195"/>
      <c r="S4" s="195"/>
      <c r="T4" s="195"/>
      <c r="U4" s="195"/>
      <c r="V4" s="195"/>
      <c r="W4" s="195"/>
      <c r="X4" s="196"/>
      <c r="Y4" s="15"/>
      <c r="Z4" s="13"/>
      <c r="AA4" s="121"/>
      <c r="AB4" s="121"/>
    </row>
    <row r="5" spans="2:28" ht="15.75">
      <c r="B5" s="13"/>
      <c r="C5" s="69" t="s">
        <v>6</v>
      </c>
      <c r="D5" s="70">
        <f>D4+D3</f>
        <v>6</v>
      </c>
      <c r="E5" s="149"/>
      <c r="F5" s="149"/>
      <c r="G5" s="28" t="s">
        <v>7</v>
      </c>
      <c r="H5" s="122" t="s">
        <v>8</v>
      </c>
      <c r="I5" s="122" t="s">
        <v>9</v>
      </c>
      <c r="J5" s="197" t="s">
        <v>10</v>
      </c>
      <c r="K5" s="198"/>
      <c r="L5" s="198"/>
      <c r="M5" s="197" t="s">
        <v>11</v>
      </c>
      <c r="N5" s="198"/>
      <c r="O5" s="197" t="s">
        <v>12</v>
      </c>
      <c r="P5" s="198"/>
      <c r="Q5" s="172" t="s">
        <v>13</v>
      </c>
      <c r="R5" s="199"/>
      <c r="S5" s="172" t="s">
        <v>14</v>
      </c>
      <c r="T5" s="199"/>
      <c r="U5" s="200" t="s">
        <v>15</v>
      </c>
      <c r="V5" s="201"/>
      <c r="W5" s="172" t="s">
        <v>16</v>
      </c>
      <c r="X5" s="173"/>
      <c r="Y5" s="123"/>
      <c r="Z5" s="123"/>
      <c r="AA5" s="121"/>
      <c r="AB5" s="13"/>
    </row>
    <row r="6" spans="2:28" ht="15.75">
      <c r="B6" s="13"/>
      <c r="C6" s="71" t="s">
        <v>17</v>
      </c>
      <c r="D6" s="62">
        <f>I30</f>
        <v>-6</v>
      </c>
      <c r="E6" s="16"/>
      <c r="F6" s="16"/>
      <c r="G6" s="30"/>
      <c r="H6" s="16" t="s">
        <v>18</v>
      </c>
      <c r="I6" s="124">
        <v>0</v>
      </c>
      <c r="J6" s="40" t="s">
        <v>7</v>
      </c>
      <c r="K6" s="17" t="s">
        <v>19</v>
      </c>
      <c r="L6" s="125" t="s">
        <v>9</v>
      </c>
      <c r="M6" s="45" t="s">
        <v>19</v>
      </c>
      <c r="N6" s="125" t="s">
        <v>9</v>
      </c>
      <c r="O6" s="45" t="s">
        <v>19</v>
      </c>
      <c r="P6" s="125" t="s">
        <v>9</v>
      </c>
      <c r="Q6" s="45" t="s">
        <v>19</v>
      </c>
      <c r="R6" s="125" t="s">
        <v>9</v>
      </c>
      <c r="S6" s="45" t="s">
        <v>19</v>
      </c>
      <c r="T6" s="126" t="s">
        <v>9</v>
      </c>
      <c r="U6" s="45" t="s">
        <v>19</v>
      </c>
      <c r="V6" s="126" t="s">
        <v>9</v>
      </c>
      <c r="W6" s="45" t="s">
        <v>19</v>
      </c>
      <c r="X6" s="148" t="s">
        <v>9</v>
      </c>
      <c r="Y6" s="17"/>
      <c r="Z6" s="13"/>
      <c r="AA6" s="121"/>
      <c r="AB6" s="13"/>
    </row>
    <row r="7" spans="2:28" ht="15.75">
      <c r="B7" s="13"/>
      <c r="C7" s="13"/>
      <c r="D7" s="18"/>
      <c r="E7" s="16"/>
      <c r="F7" s="16"/>
      <c r="G7" s="208" t="s">
        <v>155</v>
      </c>
      <c r="H7" s="16" t="s">
        <v>21</v>
      </c>
      <c r="I7" s="127"/>
      <c r="J7" s="44"/>
      <c r="K7" s="13" t="s">
        <v>22</v>
      </c>
      <c r="L7" s="128"/>
      <c r="M7" s="46"/>
      <c r="N7" s="128"/>
      <c r="O7" s="47"/>
      <c r="P7" s="128"/>
      <c r="Q7" s="30"/>
      <c r="R7" s="128"/>
      <c r="S7" s="175" t="s">
        <v>23</v>
      </c>
      <c r="T7" s="176"/>
      <c r="U7" s="46" t="s">
        <v>122</v>
      </c>
      <c r="V7" s="128"/>
      <c r="W7" s="38"/>
      <c r="X7" s="56"/>
      <c r="Y7" s="16"/>
      <c r="Z7" s="13"/>
      <c r="AA7" s="121"/>
      <c r="AB7" s="13"/>
    </row>
    <row r="8" spans="2:28" ht="16.5" customHeight="1">
      <c r="B8" s="13"/>
      <c r="C8" s="13"/>
      <c r="D8" s="16"/>
      <c r="E8" s="16"/>
      <c r="F8" s="16"/>
      <c r="G8" s="208"/>
      <c r="H8" s="16" t="s">
        <v>42</v>
      </c>
      <c r="I8" s="129"/>
      <c r="J8" s="44"/>
      <c r="K8" s="13" t="s">
        <v>26</v>
      </c>
      <c r="L8" s="128"/>
      <c r="M8" s="46"/>
      <c r="N8" s="128"/>
      <c r="O8" s="38"/>
      <c r="P8" s="128"/>
      <c r="Q8" s="30"/>
      <c r="R8" s="128"/>
      <c r="S8" s="38"/>
      <c r="T8" s="128"/>
      <c r="U8" s="46" t="s">
        <v>146</v>
      </c>
      <c r="V8" s="128"/>
      <c r="W8" s="38"/>
      <c r="X8" s="56"/>
      <c r="Y8" s="16"/>
      <c r="Z8" s="13"/>
      <c r="AA8" s="121"/>
      <c r="AB8" s="13"/>
    </row>
    <row r="9" spans="2:28" ht="15.75">
      <c r="B9" s="13"/>
      <c r="C9" s="177" t="s">
        <v>29</v>
      </c>
      <c r="D9" s="178"/>
      <c r="E9" s="16"/>
      <c r="F9" s="16"/>
      <c r="G9" s="208" t="s">
        <v>156</v>
      </c>
      <c r="H9" s="16" t="s">
        <v>21</v>
      </c>
      <c r="I9" s="130"/>
      <c r="J9" s="44"/>
      <c r="K9" s="13" t="s">
        <v>32</v>
      </c>
      <c r="L9" s="128"/>
      <c r="M9" s="46"/>
      <c r="N9" s="128"/>
      <c r="O9" s="30"/>
      <c r="P9" s="128"/>
      <c r="Q9" s="30"/>
      <c r="R9" s="128"/>
      <c r="S9" s="38"/>
      <c r="T9" s="128"/>
      <c r="U9" s="46" t="s">
        <v>137</v>
      </c>
      <c r="V9" s="128"/>
      <c r="W9" s="38"/>
      <c r="X9" s="56"/>
      <c r="Y9" s="16"/>
      <c r="Z9" s="13"/>
      <c r="AA9" s="121"/>
      <c r="AB9" s="13"/>
    </row>
    <row r="10" spans="2:28" ht="15.75">
      <c r="B10" s="13"/>
      <c r="C10" s="38" t="s">
        <v>35</v>
      </c>
      <c r="D10" s="22">
        <v>5300</v>
      </c>
      <c r="E10" s="16"/>
      <c r="F10" s="16"/>
      <c r="G10" s="208"/>
      <c r="H10" s="16" t="s">
        <v>42</v>
      </c>
      <c r="I10" s="129"/>
      <c r="J10" s="44"/>
      <c r="K10" s="13" t="s">
        <v>36</v>
      </c>
      <c r="L10" s="128">
        <v>6</v>
      </c>
      <c r="M10" s="46"/>
      <c r="N10" s="128"/>
      <c r="O10" s="30"/>
      <c r="P10" s="128"/>
      <c r="Q10" s="30"/>
      <c r="R10" s="128"/>
      <c r="S10" s="38"/>
      <c r="T10" s="128"/>
      <c r="U10" s="46" t="s">
        <v>132</v>
      </c>
      <c r="V10" s="128"/>
      <c r="W10" s="38"/>
      <c r="X10" s="56"/>
      <c r="Y10" s="16"/>
      <c r="Z10" s="13"/>
      <c r="AA10" s="121"/>
      <c r="AB10" s="13"/>
    </row>
    <row r="11" spans="2:28" ht="15.75">
      <c r="B11" s="13"/>
      <c r="C11" s="38" t="s">
        <v>37</v>
      </c>
      <c r="D11" s="22">
        <v>200</v>
      </c>
      <c r="E11" s="16"/>
      <c r="F11" s="16"/>
      <c r="G11" s="208" t="s">
        <v>157</v>
      </c>
      <c r="H11" s="16" t="s">
        <v>39</v>
      </c>
      <c r="I11" s="129"/>
      <c r="J11" s="44"/>
      <c r="K11" s="13"/>
      <c r="L11" s="128"/>
      <c r="M11" s="46"/>
      <c r="N11" s="128"/>
      <c r="O11" s="30"/>
      <c r="P11" s="128"/>
      <c r="Q11" s="30"/>
      <c r="R11" s="128"/>
      <c r="S11" s="38"/>
      <c r="T11" s="128"/>
      <c r="U11" s="46" t="s">
        <v>150</v>
      </c>
      <c r="V11" s="128"/>
      <c r="W11" s="38"/>
      <c r="X11" s="56"/>
      <c r="Y11" s="16"/>
      <c r="Z11" s="13"/>
    </row>
    <row r="12" spans="2:28" ht="16.5" customHeight="1">
      <c r="B12" s="13"/>
      <c r="C12" s="72" t="s">
        <v>6</v>
      </c>
      <c r="D12" s="73">
        <f>SUM(D10:D11)</f>
        <v>5500</v>
      </c>
      <c r="E12" s="149"/>
      <c r="F12" s="149"/>
      <c r="G12" s="208"/>
      <c r="H12" s="16" t="s">
        <v>42</v>
      </c>
      <c r="I12" s="129"/>
      <c r="J12" s="44"/>
      <c r="K12" s="13"/>
      <c r="L12" s="128"/>
      <c r="M12" s="46"/>
      <c r="N12" s="128"/>
      <c r="O12" s="30"/>
      <c r="P12" s="128"/>
      <c r="Q12" s="30"/>
      <c r="R12" s="128"/>
      <c r="S12" s="38"/>
      <c r="T12" s="128"/>
      <c r="U12" s="46"/>
      <c r="V12" s="128"/>
      <c r="W12" s="38"/>
      <c r="X12" s="56"/>
      <c r="Y12" s="16"/>
      <c r="Z12" s="13"/>
      <c r="AA12" s="13"/>
      <c r="AB12" s="13"/>
    </row>
    <row r="13" spans="2:28" ht="15.75">
      <c r="B13" s="13"/>
      <c r="C13" s="13"/>
      <c r="D13" s="13"/>
      <c r="E13" s="18"/>
      <c r="F13" s="18"/>
      <c r="G13" s="179" t="s">
        <v>158</v>
      </c>
      <c r="H13" s="16" t="s">
        <v>21</v>
      </c>
      <c r="I13" s="129"/>
      <c r="J13" s="44"/>
      <c r="K13" s="121" t="s">
        <v>41</v>
      </c>
      <c r="L13" s="128"/>
      <c r="M13" s="46"/>
      <c r="N13" s="128"/>
      <c r="O13" s="30"/>
      <c r="P13" s="128"/>
      <c r="Q13" s="30"/>
      <c r="R13" s="128"/>
      <c r="S13" s="47"/>
      <c r="T13" s="131"/>
      <c r="U13" s="142"/>
      <c r="V13" s="131"/>
      <c r="W13" s="47"/>
      <c r="X13" s="132"/>
      <c r="Y13" s="16"/>
      <c r="Z13" s="13"/>
      <c r="AA13" s="13"/>
      <c r="AB13" s="13"/>
    </row>
    <row r="14" spans="2:28" ht="15.75">
      <c r="B14" s="13"/>
      <c r="E14" s="133"/>
      <c r="F14" s="18"/>
      <c r="G14" s="179"/>
      <c r="H14" s="16" t="s">
        <v>42</v>
      </c>
      <c r="I14" s="129"/>
      <c r="J14" s="44"/>
      <c r="K14" s="13" t="s">
        <v>43</v>
      </c>
      <c r="L14" s="128"/>
      <c r="M14" s="46"/>
      <c r="N14" s="128"/>
      <c r="O14" s="30"/>
      <c r="P14" s="128"/>
      <c r="Q14" s="30"/>
      <c r="R14" s="128"/>
      <c r="S14" s="38"/>
      <c r="T14" s="128"/>
      <c r="U14" s="46"/>
      <c r="V14" s="128"/>
      <c r="W14" s="38"/>
      <c r="X14" s="56"/>
      <c r="Y14" s="16"/>
      <c r="Z14" s="13"/>
      <c r="AA14" s="13"/>
      <c r="AB14" s="13"/>
    </row>
    <row r="15" spans="2:28" ht="15.75">
      <c r="B15" s="13"/>
      <c r="C15" s="13"/>
      <c r="D15" s="13"/>
      <c r="E15" s="18"/>
      <c r="F15" s="18"/>
      <c r="G15" s="143"/>
      <c r="H15" s="16"/>
      <c r="I15" s="129"/>
      <c r="J15" s="44"/>
      <c r="K15" s="13" t="s">
        <v>44</v>
      </c>
      <c r="L15" s="128"/>
      <c r="M15" s="46"/>
      <c r="N15" s="128"/>
      <c r="O15" s="30"/>
      <c r="P15" s="128"/>
      <c r="Q15" s="30"/>
      <c r="R15" s="128"/>
      <c r="S15" s="170" t="s">
        <v>45</v>
      </c>
      <c r="T15" s="180"/>
      <c r="U15" s="181" t="s">
        <v>46</v>
      </c>
      <c r="V15" s="182"/>
      <c r="W15" s="38"/>
      <c r="X15" s="56"/>
      <c r="Y15" s="16"/>
      <c r="Z15" s="13"/>
      <c r="AA15" s="13"/>
      <c r="AB15" s="13"/>
    </row>
    <row r="16" spans="2:28" ht="15.75">
      <c r="B16" s="13"/>
      <c r="C16" s="13"/>
      <c r="D16" s="13"/>
      <c r="E16" s="18"/>
      <c r="F16" s="18"/>
      <c r="G16" s="143"/>
      <c r="H16" s="16"/>
      <c r="I16" s="134"/>
      <c r="J16" s="44"/>
      <c r="K16" s="13" t="s">
        <v>47</v>
      </c>
      <c r="L16" s="128"/>
      <c r="M16" s="46"/>
      <c r="N16" s="128"/>
      <c r="O16" s="30"/>
      <c r="P16" s="128"/>
      <c r="Q16" s="30"/>
      <c r="R16" s="128"/>
      <c r="S16" s="38"/>
      <c r="T16" s="128"/>
      <c r="U16" s="46"/>
      <c r="V16" s="128"/>
      <c r="W16" s="38"/>
      <c r="X16" s="56"/>
      <c r="Y16" s="16"/>
      <c r="Z16" s="13"/>
      <c r="AA16" s="13"/>
      <c r="AB16" s="13"/>
    </row>
    <row r="17" spans="2:28" ht="15.75">
      <c r="B17" s="13"/>
      <c r="D17" s="13"/>
      <c r="E17" s="16"/>
      <c r="F17" s="16"/>
      <c r="G17" s="102"/>
      <c r="H17" s="18"/>
      <c r="I17" s="129"/>
      <c r="J17" s="43"/>
      <c r="K17" s="13"/>
      <c r="L17" s="128"/>
      <c r="M17" s="46"/>
      <c r="N17" s="128"/>
      <c r="O17" s="30"/>
      <c r="P17" s="128"/>
      <c r="Q17" s="30"/>
      <c r="R17" s="128"/>
      <c r="S17" s="38"/>
      <c r="T17" s="128"/>
      <c r="U17" s="46"/>
      <c r="V17" s="128"/>
      <c r="W17" s="47"/>
      <c r="X17" s="56"/>
      <c r="Y17" s="16"/>
      <c r="Z17" s="13"/>
      <c r="AA17" s="13"/>
      <c r="AB17" s="13"/>
    </row>
    <row r="18" spans="2:28" ht="15.75">
      <c r="B18" s="13"/>
      <c r="E18" s="149"/>
      <c r="F18" s="149"/>
      <c r="G18" s="37"/>
      <c r="H18" s="18"/>
      <c r="I18" s="129"/>
      <c r="J18" s="44"/>
      <c r="K18" s="13"/>
      <c r="L18" s="128"/>
      <c r="M18" s="46"/>
      <c r="N18" s="128"/>
      <c r="O18" s="30"/>
      <c r="P18" s="128"/>
      <c r="Q18" s="30"/>
      <c r="R18" s="128"/>
      <c r="S18" s="38"/>
      <c r="T18" s="128"/>
      <c r="U18" s="46"/>
      <c r="V18" s="128"/>
      <c r="W18" s="38"/>
      <c r="X18" s="58"/>
      <c r="Y18" s="19"/>
      <c r="Z18" s="13"/>
      <c r="AA18" s="13"/>
      <c r="AB18" s="13"/>
    </row>
    <row r="19" spans="2:28" ht="15.75">
      <c r="B19" s="13"/>
      <c r="C19" s="20"/>
      <c r="E19" s="18"/>
      <c r="F19" s="18"/>
      <c r="G19" s="37"/>
      <c r="H19" s="18"/>
      <c r="I19" s="129"/>
      <c r="J19" s="44"/>
      <c r="K19" s="121"/>
      <c r="L19" s="128"/>
      <c r="M19" s="46"/>
      <c r="N19" s="128"/>
      <c r="O19" s="30"/>
      <c r="P19" s="128"/>
      <c r="Q19" s="30"/>
      <c r="R19" s="128"/>
      <c r="S19" s="102"/>
      <c r="U19" s="146"/>
      <c r="V19" s="125"/>
      <c r="W19" s="170" t="s">
        <v>51</v>
      </c>
      <c r="X19" s="180"/>
      <c r="Y19" s="16"/>
      <c r="Z19" s="13"/>
      <c r="AA19" s="13"/>
      <c r="AB19" s="13"/>
    </row>
    <row r="20" spans="2:28" ht="15.75">
      <c r="B20" s="13"/>
      <c r="C20" s="13"/>
      <c r="D20" s="13"/>
      <c r="E20" s="18"/>
      <c r="F20" s="18"/>
      <c r="G20" s="37"/>
      <c r="H20" s="18"/>
      <c r="I20" s="129"/>
      <c r="J20" s="44"/>
      <c r="K20" s="13"/>
      <c r="L20" s="128"/>
      <c r="M20" s="46"/>
      <c r="N20" s="128"/>
      <c r="O20" s="30"/>
      <c r="P20" s="128"/>
      <c r="Q20" s="30"/>
      <c r="R20" s="128"/>
      <c r="S20" s="102"/>
      <c r="U20" s="46"/>
      <c r="V20" s="128"/>
      <c r="W20" s="38"/>
      <c r="X20" s="56"/>
      <c r="Y20" s="16"/>
      <c r="Z20" s="13"/>
      <c r="AA20" s="13"/>
      <c r="AB20" s="13"/>
    </row>
    <row r="21" spans="2:28" ht="15.75">
      <c r="B21" s="13"/>
      <c r="C21" s="13"/>
      <c r="D21" s="13"/>
      <c r="E21" s="18"/>
      <c r="F21" s="18"/>
      <c r="G21" s="37"/>
      <c r="H21" s="13"/>
      <c r="I21" s="129"/>
      <c r="J21" s="44"/>
      <c r="K21" s="13"/>
      <c r="L21" s="128"/>
      <c r="M21" s="46"/>
      <c r="N21" s="128"/>
      <c r="O21" s="30"/>
      <c r="P21" s="128"/>
      <c r="Q21" s="30"/>
      <c r="R21" s="128"/>
      <c r="S21" s="102"/>
      <c r="U21" s="46"/>
      <c r="V21" s="128"/>
      <c r="W21" s="38"/>
      <c r="X21" s="56"/>
      <c r="Y21" s="16"/>
      <c r="Z21" s="13"/>
      <c r="AA21" s="13"/>
      <c r="AB21" s="13"/>
    </row>
    <row r="22" spans="2:28" ht="15.75">
      <c r="B22" s="13"/>
      <c r="C22" s="13"/>
      <c r="D22" s="13"/>
      <c r="E22" s="18"/>
      <c r="F22" s="18"/>
      <c r="G22" s="37"/>
      <c r="H22" s="13"/>
      <c r="I22" s="129"/>
      <c r="J22" s="44"/>
      <c r="K22" s="121" t="s">
        <v>52</v>
      </c>
      <c r="L22" s="128"/>
      <c r="M22" s="46"/>
      <c r="N22" s="128"/>
      <c r="O22" s="30"/>
      <c r="P22" s="128"/>
      <c r="Q22" s="30"/>
      <c r="R22" s="128"/>
      <c r="S22" s="38"/>
      <c r="T22" s="128"/>
      <c r="U22" s="46"/>
      <c r="V22" s="128"/>
      <c r="W22" s="135"/>
      <c r="X22" s="136"/>
      <c r="Y22" s="16"/>
      <c r="Z22" s="13"/>
      <c r="AA22" s="13"/>
      <c r="AB22" s="13"/>
    </row>
    <row r="23" spans="2:28" ht="15.75">
      <c r="B23" s="13"/>
      <c r="C23" s="13"/>
      <c r="E23" s="18"/>
      <c r="F23" s="18"/>
      <c r="G23" s="37"/>
      <c r="H23" s="137" t="s">
        <v>6</v>
      </c>
      <c r="I23" s="138">
        <f>SUM(I6:I22)</f>
        <v>0</v>
      </c>
      <c r="J23" s="44"/>
      <c r="K23" s="13"/>
      <c r="L23" s="128"/>
      <c r="M23" s="46"/>
      <c r="N23" s="128"/>
      <c r="O23" s="30"/>
      <c r="P23" s="128"/>
      <c r="Q23" s="30"/>
      <c r="R23" s="128"/>
      <c r="S23" s="38"/>
      <c r="T23" s="128"/>
      <c r="U23" s="46"/>
      <c r="V23" s="128"/>
      <c r="W23" s="38"/>
      <c r="X23" s="56"/>
      <c r="Y23" s="16"/>
      <c r="Z23" s="13"/>
      <c r="AA23" s="13"/>
      <c r="AB23" s="13"/>
    </row>
    <row r="24" spans="2:28" ht="15.75">
      <c r="B24" s="13"/>
      <c r="C24" s="13"/>
      <c r="E24" s="13"/>
      <c r="F24" s="18"/>
      <c r="G24" s="38"/>
      <c r="H24" s="13" t="s">
        <v>29</v>
      </c>
      <c r="I24" s="129"/>
      <c r="J24" s="44"/>
      <c r="K24" s="13"/>
      <c r="L24" s="128"/>
      <c r="M24" s="46"/>
      <c r="N24" s="128"/>
      <c r="O24" s="30"/>
      <c r="P24" s="128"/>
      <c r="Q24" s="30"/>
      <c r="R24" s="128"/>
      <c r="S24" s="170" t="s">
        <v>53</v>
      </c>
      <c r="T24" s="171"/>
      <c r="U24" s="46"/>
      <c r="V24" s="128"/>
      <c r="W24" s="38"/>
      <c r="X24" s="56"/>
      <c r="Y24" s="16"/>
      <c r="Z24" s="13"/>
      <c r="AA24" s="16"/>
      <c r="AB24" s="13"/>
    </row>
    <row r="25" spans="2:28" ht="15.75">
      <c r="B25" s="13"/>
      <c r="C25" s="13"/>
      <c r="F25" s="13"/>
      <c r="G25" s="38"/>
      <c r="H25" s="13"/>
      <c r="I25" s="129"/>
      <c r="J25" s="44"/>
      <c r="K25" s="13"/>
      <c r="L25" s="128"/>
      <c r="M25" s="46"/>
      <c r="N25" s="128"/>
      <c r="O25" s="30"/>
      <c r="P25" s="128"/>
      <c r="Q25" s="30"/>
      <c r="R25" s="128"/>
      <c r="S25" s="38"/>
      <c r="T25" s="128"/>
      <c r="U25" s="46"/>
      <c r="V25" s="128"/>
      <c r="W25" s="38"/>
      <c r="X25" s="56"/>
      <c r="Y25" s="16"/>
      <c r="Z25" s="13"/>
      <c r="AA25" s="13"/>
      <c r="AB25" s="13"/>
    </row>
    <row r="26" spans="2:28" ht="15.75">
      <c r="B26" s="13"/>
      <c r="C26" s="13"/>
      <c r="D26" s="21"/>
      <c r="F26" s="13"/>
      <c r="G26" s="38"/>
      <c r="H26" s="13"/>
      <c r="I26" s="129"/>
      <c r="J26" s="44"/>
      <c r="K26" s="13"/>
      <c r="L26" s="128"/>
      <c r="M26" s="46"/>
      <c r="N26" s="128"/>
      <c r="O26" s="30"/>
      <c r="P26" s="128"/>
      <c r="Q26" s="30"/>
      <c r="R26" s="128"/>
      <c r="S26" s="38"/>
      <c r="T26" s="128"/>
      <c r="U26" s="46"/>
      <c r="V26" s="128"/>
      <c r="W26" s="38"/>
      <c r="X26" s="56"/>
      <c r="Y26" s="16"/>
      <c r="Z26" s="13"/>
      <c r="AA26" s="13"/>
      <c r="AB26" s="13"/>
    </row>
    <row r="27" spans="2:28" ht="15.75">
      <c r="B27" s="13"/>
      <c r="C27" s="13"/>
      <c r="F27" s="13"/>
      <c r="G27" s="38"/>
      <c r="H27" s="13"/>
      <c r="I27" s="129"/>
      <c r="J27" s="44"/>
      <c r="K27" s="13"/>
      <c r="L27" s="128"/>
      <c r="M27" s="46"/>
      <c r="N27" s="128"/>
      <c r="O27" s="30"/>
      <c r="P27" s="128"/>
      <c r="Q27" s="30"/>
      <c r="R27" s="128"/>
      <c r="S27" s="38"/>
      <c r="T27" s="128"/>
      <c r="U27" s="46"/>
      <c r="V27" s="128"/>
      <c r="W27" s="38"/>
      <c r="X27" s="56"/>
      <c r="Y27" s="16"/>
      <c r="Z27" s="13"/>
    </row>
    <row r="28" spans="2:28" ht="15.75">
      <c r="B28" s="13"/>
      <c r="F28" s="13"/>
      <c r="G28" s="38"/>
      <c r="H28" s="13"/>
      <c r="I28" s="129"/>
      <c r="J28" s="44"/>
      <c r="K28" s="13"/>
      <c r="L28" s="128"/>
      <c r="M28" s="46"/>
      <c r="N28" s="128"/>
      <c r="O28" s="30"/>
      <c r="P28" s="128"/>
      <c r="Q28" s="30"/>
      <c r="R28" s="128"/>
      <c r="S28" s="38"/>
      <c r="T28" s="128"/>
      <c r="U28" s="46"/>
      <c r="V28" s="128"/>
      <c r="W28" s="38"/>
      <c r="X28" s="56"/>
      <c r="Y28" s="16"/>
      <c r="Z28" s="13"/>
    </row>
    <row r="29" spans="2:28" ht="16.5" customHeight="1">
      <c r="B29" s="13"/>
      <c r="F29" s="13"/>
      <c r="G29" s="164" t="s">
        <v>6</v>
      </c>
      <c r="H29" s="165"/>
      <c r="I29" s="75">
        <f>I23-I24-I25-I26-I27-I28</f>
        <v>0</v>
      </c>
      <c r="J29" s="139"/>
      <c r="K29" s="13"/>
      <c r="L29" s="128"/>
      <c r="M29" s="46"/>
      <c r="N29" s="128"/>
      <c r="O29" s="30"/>
      <c r="P29" s="128"/>
      <c r="Q29" s="30"/>
      <c r="R29" s="128"/>
      <c r="S29" s="38"/>
      <c r="T29" s="128"/>
      <c r="U29" s="46"/>
      <c r="V29" s="128"/>
      <c r="W29" s="38"/>
      <c r="X29" s="56"/>
      <c r="Y29" s="16"/>
      <c r="Z29" s="13"/>
    </row>
    <row r="30" spans="2:28" ht="16.5" customHeight="1">
      <c r="B30" s="13"/>
      <c r="E30" s="13"/>
      <c r="F30" s="13"/>
      <c r="G30" s="166" t="s">
        <v>17</v>
      </c>
      <c r="H30" s="166"/>
      <c r="I30" s="98">
        <f>I29-Q32</f>
        <v>-6</v>
      </c>
      <c r="J30" s="167">
        <f>SUM(L7:L29)</f>
        <v>6</v>
      </c>
      <c r="K30" s="167"/>
      <c r="L30" s="167"/>
      <c r="M30" s="168">
        <f>SUM(N7:N29)</f>
        <v>0</v>
      </c>
      <c r="N30" s="169"/>
      <c r="O30" s="168">
        <f>SUM(P7:P29)</f>
        <v>0</v>
      </c>
      <c r="P30" s="167"/>
      <c r="Q30" s="154">
        <f>SUM(R7:R29)</f>
        <v>0</v>
      </c>
      <c r="R30" s="155"/>
      <c r="S30" s="154">
        <f>SUM(T7:T29)</f>
        <v>0</v>
      </c>
      <c r="T30" s="155"/>
      <c r="U30" s="154">
        <f>SUM(V7:V29)</f>
        <v>0</v>
      </c>
      <c r="V30" s="156"/>
      <c r="W30" s="154">
        <f>SUM(X7:X29)</f>
        <v>0</v>
      </c>
      <c r="X30" s="156"/>
      <c r="Y30" s="16"/>
      <c r="Z30" s="13"/>
    </row>
    <row r="31" spans="2:28" ht="16.5" customHeight="1">
      <c r="B31" s="13"/>
      <c r="E31" s="13"/>
      <c r="F31" s="13"/>
      <c r="G31" s="99"/>
      <c r="H31" s="99"/>
      <c r="I31" s="100"/>
      <c r="J31" s="157">
        <f>SUM(J30:P30)</f>
        <v>6</v>
      </c>
      <c r="K31" s="157"/>
      <c r="L31" s="157"/>
      <c r="M31" s="157"/>
      <c r="N31" s="157"/>
      <c r="O31" s="157"/>
      <c r="P31" s="157"/>
      <c r="Q31" s="158">
        <f>SUM(Q30:X30)</f>
        <v>0</v>
      </c>
      <c r="R31" s="159"/>
      <c r="S31" s="159"/>
      <c r="T31" s="159"/>
      <c r="U31" s="159"/>
      <c r="V31" s="159"/>
      <c r="W31" s="159"/>
      <c r="X31" s="160"/>
      <c r="Y31" s="16"/>
      <c r="Z31" s="13"/>
    </row>
    <row r="32" spans="2:28" ht="18.75">
      <c r="B32" s="13"/>
      <c r="E32" s="13"/>
      <c r="F32" s="13"/>
      <c r="G32" s="13"/>
      <c r="H32" s="16"/>
      <c r="I32" s="101"/>
      <c r="J32" s="161" t="s">
        <v>57</v>
      </c>
      <c r="K32" s="161"/>
      <c r="L32" s="161"/>
      <c r="M32" s="161"/>
      <c r="N32" s="161"/>
      <c r="O32" s="161"/>
      <c r="P32" s="161"/>
      <c r="Q32" s="162">
        <f>J31+Q31</f>
        <v>6</v>
      </c>
      <c r="R32" s="162"/>
      <c r="S32" s="162"/>
      <c r="T32" s="162"/>
      <c r="U32" s="162"/>
      <c r="V32" s="162"/>
      <c r="W32" s="162"/>
      <c r="X32" s="163"/>
      <c r="Y32" s="16"/>
      <c r="Z32" s="13"/>
    </row>
    <row r="33" spans="2:26" ht="16.5" customHeight="1">
      <c r="B33" s="13"/>
      <c r="E33" s="13"/>
      <c r="F33" s="13"/>
      <c r="G33" s="13"/>
      <c r="H33" s="13"/>
      <c r="I33" s="13"/>
      <c r="J33" s="150" t="s">
        <v>114</v>
      </c>
      <c r="K33" s="151"/>
      <c r="L33" s="151"/>
      <c r="M33" s="151"/>
      <c r="N33" s="151"/>
      <c r="O33" s="151"/>
      <c r="P33" s="151"/>
      <c r="Q33" s="152">
        <f>1500-Q32</f>
        <v>1494</v>
      </c>
      <c r="R33" s="152"/>
      <c r="S33" s="152"/>
      <c r="T33" s="152"/>
      <c r="U33" s="152"/>
      <c r="V33" s="152"/>
      <c r="W33" s="152"/>
      <c r="X33" s="153"/>
      <c r="Y33" s="13"/>
      <c r="Z33" s="13"/>
    </row>
    <row r="36" spans="2:26">
      <c r="I36" s="119" t="s">
        <v>159</v>
      </c>
      <c r="J36" s="119"/>
      <c r="K36" s="120">
        <v>1125</v>
      </c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G7:G8"/>
    <mergeCell ref="S7:T7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  <mergeCell ref="C9:D9"/>
    <mergeCell ref="G9:G10"/>
    <mergeCell ref="G13:G14"/>
    <mergeCell ref="S15:T15"/>
    <mergeCell ref="U15:V15"/>
    <mergeCell ref="G11:G12"/>
    <mergeCell ref="W19:X19"/>
    <mergeCell ref="S24:T24"/>
    <mergeCell ref="G29:H29"/>
    <mergeCell ref="G30:H30"/>
    <mergeCell ref="J30:L30"/>
    <mergeCell ref="M30:N30"/>
    <mergeCell ref="O30:P30"/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92A8-4889-4667-9B2F-E841BF18A260}">
  <sheetPr>
    <tabColor rgb="FFFFFF00"/>
  </sheetPr>
  <dimension ref="A1:AH22"/>
  <sheetViews>
    <sheetView workbookViewId="0">
      <pane xSplit="1" topLeftCell="G1" activePane="topRight" state="frozen"/>
      <selection pane="topRight" activeCell="AC19" sqref="AC19"/>
    </sheetView>
  </sheetViews>
  <sheetFormatPr defaultRowHeight="15"/>
  <cols>
    <col min="1" max="1" width="23.7109375" customWidth="1"/>
    <col min="2" max="2" width="12.42578125" customWidth="1"/>
    <col min="3" max="3" width="11.85546875" customWidth="1"/>
    <col min="4" max="4" width="13" customWidth="1"/>
    <col min="12" max="12" width="10.42578125" customWidth="1"/>
    <col min="26" max="26" width="10.7109375" customWidth="1"/>
  </cols>
  <sheetData>
    <row r="1" spans="1:34">
      <c r="A1" s="236"/>
      <c r="B1" s="236" t="s">
        <v>160</v>
      </c>
      <c r="C1" s="235"/>
      <c r="D1" s="236" t="s">
        <v>161</v>
      </c>
      <c r="E1" s="238"/>
      <c r="F1" s="235" t="s">
        <v>162</v>
      </c>
      <c r="G1" s="238"/>
      <c r="H1" s="235" t="s">
        <v>163</v>
      </c>
      <c r="I1" s="235"/>
      <c r="J1" s="234" t="s">
        <v>164</v>
      </c>
      <c r="K1" s="235"/>
      <c r="L1" s="234" t="s">
        <v>165</v>
      </c>
      <c r="M1" s="235"/>
      <c r="N1" s="234" t="s">
        <v>166</v>
      </c>
      <c r="O1" s="235"/>
      <c r="P1" s="234" t="s">
        <v>167</v>
      </c>
      <c r="Q1" s="235"/>
      <c r="R1" s="236" t="s">
        <v>168</v>
      </c>
      <c r="S1" s="235"/>
      <c r="T1" s="236" t="s">
        <v>169</v>
      </c>
      <c r="U1" s="235"/>
      <c r="V1" s="236" t="s">
        <v>170</v>
      </c>
      <c r="W1" s="235"/>
      <c r="X1" s="236" t="s">
        <v>171</v>
      </c>
      <c r="Y1" s="235"/>
      <c r="Z1" s="239" t="s">
        <v>172</v>
      </c>
      <c r="AA1" s="240"/>
      <c r="AB1" s="241"/>
      <c r="AD1" s="231"/>
      <c r="AE1" s="231"/>
      <c r="AG1" s="231"/>
      <c r="AH1" s="231"/>
    </row>
    <row r="2" spans="1:34" ht="25.5">
      <c r="A2" s="237"/>
      <c r="B2" s="1" t="s">
        <v>173</v>
      </c>
      <c r="C2" s="2" t="s">
        <v>174</v>
      </c>
      <c r="D2" s="1" t="s">
        <v>173</v>
      </c>
      <c r="E2" s="3" t="s">
        <v>174</v>
      </c>
      <c r="F2" s="4" t="s">
        <v>173</v>
      </c>
      <c r="G2" s="3" t="s">
        <v>174</v>
      </c>
      <c r="H2" s="4" t="s">
        <v>173</v>
      </c>
      <c r="I2" s="2" t="s">
        <v>174</v>
      </c>
      <c r="J2" s="1" t="s">
        <v>173</v>
      </c>
      <c r="K2" s="2" t="s">
        <v>174</v>
      </c>
      <c r="L2" s="1" t="s">
        <v>173</v>
      </c>
      <c r="M2" s="2" t="s">
        <v>174</v>
      </c>
      <c r="N2" s="1" t="s">
        <v>173</v>
      </c>
      <c r="O2" s="2" t="s">
        <v>174</v>
      </c>
      <c r="P2" s="1" t="s">
        <v>173</v>
      </c>
      <c r="Q2" s="2" t="s">
        <v>174</v>
      </c>
      <c r="R2" s="1" t="s">
        <v>173</v>
      </c>
      <c r="S2" s="2" t="s">
        <v>174</v>
      </c>
      <c r="T2" s="1" t="s">
        <v>173</v>
      </c>
      <c r="U2" s="2" t="s">
        <v>174</v>
      </c>
      <c r="V2" s="1" t="s">
        <v>173</v>
      </c>
      <c r="W2" s="2" t="s">
        <v>174</v>
      </c>
      <c r="X2" s="1" t="s">
        <v>173</v>
      </c>
      <c r="Y2" s="3" t="s">
        <v>174</v>
      </c>
      <c r="Z2" s="5" t="s">
        <v>173</v>
      </c>
      <c r="AA2" s="6" t="s">
        <v>174</v>
      </c>
      <c r="AB2" s="7" t="s">
        <v>175</v>
      </c>
    </row>
    <row r="3" spans="1:34">
      <c r="A3" s="77" t="s">
        <v>176</v>
      </c>
      <c r="B3" s="78">
        <v>500</v>
      </c>
      <c r="C3" s="79">
        <f>B3/$B$17</f>
        <v>0.33189732424377189</v>
      </c>
      <c r="D3" s="78">
        <v>500</v>
      </c>
      <c r="E3" s="80">
        <f>D3/$D$17</f>
        <v>0.3106496927674538</v>
      </c>
      <c r="F3" s="81">
        <v>500</v>
      </c>
      <c r="G3" s="80">
        <f>F3/$F$17</f>
        <v>0.24607146899745561</v>
      </c>
      <c r="H3" s="81">
        <v>500</v>
      </c>
      <c r="I3" s="79">
        <f>H3/$H$17</f>
        <v>0.35425567340460956</v>
      </c>
      <c r="J3" s="78">
        <v>500</v>
      </c>
      <c r="K3" s="79">
        <f>J3/$J$17</f>
        <v>0.37078785002373044</v>
      </c>
      <c r="L3" s="78">
        <v>500</v>
      </c>
      <c r="M3" s="79">
        <f>L3/$L$17</f>
        <v>0.17809121832202457</v>
      </c>
      <c r="N3" s="78">
        <v>0</v>
      </c>
      <c r="O3" s="79" t="e">
        <f>N3/$N$17</f>
        <v>#DIV/0!</v>
      </c>
      <c r="P3" s="78">
        <v>0</v>
      </c>
      <c r="Q3" s="79" t="e">
        <f>P3/$P$17</f>
        <v>#DIV/0!</v>
      </c>
      <c r="R3" s="78">
        <v>0</v>
      </c>
      <c r="S3" s="79" t="e">
        <f>R3/$R$17</f>
        <v>#DIV/0!</v>
      </c>
      <c r="T3" s="78">
        <v>0</v>
      </c>
      <c r="U3" s="79" t="e">
        <f>T3/$T$17</f>
        <v>#DIV/0!</v>
      </c>
      <c r="V3" s="78">
        <v>0</v>
      </c>
      <c r="W3" s="79" t="e">
        <f>V3/$V$17</f>
        <v>#DIV/0!</v>
      </c>
      <c r="X3" s="78">
        <v>0</v>
      </c>
      <c r="Y3" s="80" t="e">
        <f>X3/$X$17</f>
        <v>#DIV/0!</v>
      </c>
      <c r="Z3" s="82">
        <f>SUM(X3,V3,T3,R3,P3,N3,L3,J3,H3,F3,D3,B3)</f>
        <v>3000</v>
      </c>
      <c r="AA3" s="83">
        <f>Z3/$Z$17</f>
        <v>0.27997114430739339</v>
      </c>
      <c r="AB3" s="84">
        <f>AVERAGE(X3,V3,T3,R3,P3,N3,L3,J3,H3,D3,B3)</f>
        <v>227.27272727272728</v>
      </c>
    </row>
    <row r="4" spans="1:34" ht="18" customHeight="1">
      <c r="A4" s="77" t="s">
        <v>10</v>
      </c>
      <c r="B4" s="78">
        <v>147</v>
      </c>
      <c r="C4" s="79">
        <f>B4/$B$17</f>
        <v>9.7577813327668933E-2</v>
      </c>
      <c r="D4" s="78">
        <v>126</v>
      </c>
      <c r="E4" s="80">
        <f>D4/$D$17</f>
        <v>7.8283722577398365E-2</v>
      </c>
      <c r="F4" s="81">
        <v>247</v>
      </c>
      <c r="G4" s="80">
        <f>F4/$F$17</f>
        <v>0.12155930568474307</v>
      </c>
      <c r="H4" s="81">
        <v>37</v>
      </c>
      <c r="I4" s="79">
        <f>H4/$H$17</f>
        <v>2.6214919831941106E-2</v>
      </c>
      <c r="J4" s="78">
        <v>224</v>
      </c>
      <c r="K4" s="79">
        <f>J4/$J$17</f>
        <v>0.16611295681063123</v>
      </c>
      <c r="L4" s="78">
        <v>46</v>
      </c>
      <c r="M4" s="79">
        <f>L4/$L$17</f>
        <v>1.6384392085626261E-2</v>
      </c>
      <c r="N4" s="78">
        <v>0</v>
      </c>
      <c r="O4" s="79" t="e">
        <f>N4/$N$17</f>
        <v>#DIV/0!</v>
      </c>
      <c r="P4" s="78">
        <v>0</v>
      </c>
      <c r="Q4" s="79" t="e">
        <f>P4/$P$17</f>
        <v>#DIV/0!</v>
      </c>
      <c r="R4" s="78">
        <v>0</v>
      </c>
      <c r="S4" s="79" t="e">
        <f>R4/$R$17</f>
        <v>#DIV/0!</v>
      </c>
      <c r="T4" s="78">
        <v>0</v>
      </c>
      <c r="U4" s="79" t="e">
        <f>T4/$T$17</f>
        <v>#DIV/0!</v>
      </c>
      <c r="V4" s="78">
        <v>0</v>
      </c>
      <c r="W4" s="79" t="e">
        <f>V4/$V$17</f>
        <v>#DIV/0!</v>
      </c>
      <c r="X4" s="78">
        <v>0</v>
      </c>
      <c r="Y4" s="80" t="e">
        <f>X4/$X$17</f>
        <v>#DIV/0!</v>
      </c>
      <c r="Z4" s="82">
        <f t="shared" ref="Z4:Z9" si="0">SUM(X4,V4,T4,R4,P4,N4,L4,J4,H4,F4,D4,B4)</f>
        <v>827</v>
      </c>
      <c r="AA4" s="83">
        <f>Z4/$Z$17</f>
        <v>7.7178712114071443E-2</v>
      </c>
      <c r="AB4" s="84">
        <f t="shared" ref="AB4:AB20" si="1">AVERAGE(X4,V4,T4,R4,P4,N4,L4,J4,H4,D4,B4)</f>
        <v>52.727272727272727</v>
      </c>
    </row>
    <row r="5" spans="1:34" ht="18.75" customHeight="1">
      <c r="A5" s="77" t="s">
        <v>177</v>
      </c>
      <c r="B5" s="78">
        <v>126</v>
      </c>
      <c r="C5" s="79">
        <f>B5/$B$17</f>
        <v>8.3638125709430522E-2</v>
      </c>
      <c r="D5" s="78">
        <v>136</v>
      </c>
      <c r="E5" s="80">
        <f>D5/$D$17</f>
        <v>8.4496716432747435E-2</v>
      </c>
      <c r="F5" s="81">
        <v>231.13</v>
      </c>
      <c r="G5" s="80">
        <f>F5/$F$17</f>
        <v>0.11374899725876383</v>
      </c>
      <c r="H5" s="81">
        <v>92.3</v>
      </c>
      <c r="I5" s="79">
        <f>H5/$H$17</f>
        <v>6.5395597310490924E-2</v>
      </c>
      <c r="J5" s="78">
        <v>81.209999999999994</v>
      </c>
      <c r="K5" s="79">
        <f>J5/$J$17</f>
        <v>6.0223362600854292E-2</v>
      </c>
      <c r="L5" s="78">
        <v>121.6</v>
      </c>
      <c r="M5" s="79">
        <f>L5/$L$17</f>
        <v>4.3311784295916374E-2</v>
      </c>
      <c r="N5" s="78">
        <v>0</v>
      </c>
      <c r="O5" s="79" t="e">
        <f>N5/$N$17</f>
        <v>#DIV/0!</v>
      </c>
      <c r="P5" s="78">
        <v>0</v>
      </c>
      <c r="Q5" s="79" t="e">
        <f>P5/$P$17</f>
        <v>#DIV/0!</v>
      </c>
      <c r="R5" s="78">
        <v>0</v>
      </c>
      <c r="S5" s="79" t="e">
        <f>R5/$R$17</f>
        <v>#DIV/0!</v>
      </c>
      <c r="T5" s="78">
        <v>0</v>
      </c>
      <c r="U5" s="79" t="e">
        <f>T5/$T$17</f>
        <v>#DIV/0!</v>
      </c>
      <c r="V5" s="78">
        <v>0</v>
      </c>
      <c r="W5" s="79" t="e">
        <f>V5/$V$17</f>
        <v>#DIV/0!</v>
      </c>
      <c r="X5" s="78">
        <v>0</v>
      </c>
      <c r="Y5" s="80" t="e">
        <f>X5/$X$17</f>
        <v>#DIV/0!</v>
      </c>
      <c r="Z5" s="82">
        <f t="shared" si="0"/>
        <v>788.24</v>
      </c>
      <c r="AA5" s="83">
        <f>Z5/$Z$17</f>
        <v>7.3561484929619919E-2</v>
      </c>
      <c r="AB5" s="84">
        <f t="shared" si="1"/>
        <v>50.646363636363638</v>
      </c>
    </row>
    <row r="6" spans="1:34">
      <c r="A6" s="77" t="s">
        <v>52</v>
      </c>
      <c r="B6" s="78">
        <v>0</v>
      </c>
      <c r="C6" s="79">
        <f>B6/$B$17</f>
        <v>0</v>
      </c>
      <c r="D6" s="78">
        <v>0</v>
      </c>
      <c r="E6" s="80">
        <f>D6/$D$17</f>
        <v>0</v>
      </c>
      <c r="F6" s="81">
        <v>75.489999999999995</v>
      </c>
      <c r="G6" s="80">
        <f>F6/$F$17</f>
        <v>3.7151870389235848E-2</v>
      </c>
      <c r="H6" s="81">
        <v>0</v>
      </c>
      <c r="I6" s="79">
        <f>H6/$H$17</f>
        <v>0</v>
      </c>
      <c r="J6" s="78">
        <v>0</v>
      </c>
      <c r="K6" s="79">
        <f>J6/$J$17</f>
        <v>0</v>
      </c>
      <c r="L6" s="78">
        <v>0</v>
      </c>
      <c r="M6" s="79">
        <f>L6/$L$17</f>
        <v>0</v>
      </c>
      <c r="N6" s="78">
        <v>0</v>
      </c>
      <c r="O6" s="79" t="e">
        <f>N6/$N$17</f>
        <v>#DIV/0!</v>
      </c>
      <c r="P6" s="78">
        <v>0</v>
      </c>
      <c r="Q6" s="79" t="e">
        <f>P6/$P$17</f>
        <v>#DIV/0!</v>
      </c>
      <c r="R6" s="78">
        <v>0</v>
      </c>
      <c r="S6" s="79" t="e">
        <f>R6/$R$17</f>
        <v>#DIV/0!</v>
      </c>
      <c r="T6" s="78">
        <v>0</v>
      </c>
      <c r="U6" s="79" t="e">
        <f>T6/$T$17</f>
        <v>#DIV/0!</v>
      </c>
      <c r="V6" s="78">
        <v>0</v>
      </c>
      <c r="W6" s="79" t="e">
        <f>V6/$V$17</f>
        <v>#DIV/0!</v>
      </c>
      <c r="X6" s="78">
        <v>0</v>
      </c>
      <c r="Y6" s="80" t="e">
        <f>X6/$X$17</f>
        <v>#DIV/0!</v>
      </c>
      <c r="Z6" s="82">
        <f t="shared" si="0"/>
        <v>75.489999999999995</v>
      </c>
      <c r="AA6" s="83">
        <f>Z6/$Z$17</f>
        <v>7.0450072279217091E-3</v>
      </c>
      <c r="AB6" s="84">
        <f t="shared" si="1"/>
        <v>0</v>
      </c>
    </row>
    <row r="7" spans="1:34">
      <c r="A7" s="77" t="s">
        <v>12</v>
      </c>
      <c r="B7" s="78">
        <v>235.73</v>
      </c>
      <c r="C7" s="79">
        <f>B7/$B$17</f>
        <v>0.1564763124879687</v>
      </c>
      <c r="D7" s="78">
        <v>187.68</v>
      </c>
      <c r="E7" s="80">
        <f>D7/$D$17</f>
        <v>0.11660546867719147</v>
      </c>
      <c r="F7" s="81">
        <v>198.86</v>
      </c>
      <c r="G7" s="80">
        <f>F7/$F$17</f>
        <v>9.7867544649668056E-2</v>
      </c>
      <c r="H7" s="81">
        <v>238.68</v>
      </c>
      <c r="I7" s="79">
        <f>H7/$H$17</f>
        <v>0.16910748825642441</v>
      </c>
      <c r="J7" s="78">
        <v>36</v>
      </c>
      <c r="K7" s="79">
        <f>J7/$J$17</f>
        <v>2.6696725201708588E-2</v>
      </c>
      <c r="L7" s="78">
        <v>341.68</v>
      </c>
      <c r="M7" s="79">
        <f>L7/$L$17</f>
        <v>0.12170041495253871</v>
      </c>
      <c r="N7" s="78">
        <v>0</v>
      </c>
      <c r="O7" s="79" t="e">
        <f>N7/$N$17</f>
        <v>#DIV/0!</v>
      </c>
      <c r="P7" s="78">
        <v>0</v>
      </c>
      <c r="Q7" s="79" t="e">
        <f>P7/$P$17</f>
        <v>#DIV/0!</v>
      </c>
      <c r="R7" s="78">
        <v>0</v>
      </c>
      <c r="S7" s="79" t="e">
        <f>R7/$R$17</f>
        <v>#DIV/0!</v>
      </c>
      <c r="T7" s="78">
        <v>0</v>
      </c>
      <c r="U7" s="79" t="e">
        <f>T7/$T$17</f>
        <v>#DIV/0!</v>
      </c>
      <c r="V7" s="78">
        <v>0</v>
      </c>
      <c r="W7" s="79" t="e">
        <f>V7/$V$17</f>
        <v>#DIV/0!</v>
      </c>
      <c r="X7" s="78">
        <v>0</v>
      </c>
      <c r="Y7" s="80" t="e">
        <f>X7/$X$17</f>
        <v>#DIV/0!</v>
      </c>
      <c r="Z7" s="82">
        <f t="shared" si="0"/>
        <v>1238.6300000000001</v>
      </c>
      <c r="AA7" s="83">
        <f>Z7/$Z$17</f>
        <v>0.11559355282448891</v>
      </c>
      <c r="AB7" s="84">
        <f t="shared" si="1"/>
        <v>94.524545454545446</v>
      </c>
    </row>
    <row r="8" spans="1:34">
      <c r="A8" s="85" t="s">
        <v>11</v>
      </c>
      <c r="B8" s="78">
        <v>0</v>
      </c>
      <c r="C8" s="79">
        <f>B8/$B$17</f>
        <v>0</v>
      </c>
      <c r="D8" s="78">
        <v>97.97</v>
      </c>
      <c r="E8" s="80">
        <f>D8/$D$17</f>
        <v>6.0868700800854901E-2</v>
      </c>
      <c r="F8" s="81">
        <v>0</v>
      </c>
      <c r="G8" s="80">
        <f>F8/$F$17</f>
        <v>0</v>
      </c>
      <c r="H8" s="81">
        <v>55.39</v>
      </c>
      <c r="I8" s="79">
        <f>H8/$H$17</f>
        <v>3.9244443499762645E-2</v>
      </c>
      <c r="J8" s="78">
        <v>0</v>
      </c>
      <c r="K8" s="79">
        <f>J8/$J$17</f>
        <v>0</v>
      </c>
      <c r="L8" s="78">
        <v>158.30000000000001</v>
      </c>
      <c r="M8" s="79">
        <f>L8/$L$17</f>
        <v>5.6383679720752977E-2</v>
      </c>
      <c r="N8" s="78">
        <v>0</v>
      </c>
      <c r="O8" s="79" t="e">
        <f>N8/$N$17</f>
        <v>#DIV/0!</v>
      </c>
      <c r="P8" s="78">
        <v>0</v>
      </c>
      <c r="Q8" s="79" t="e">
        <f>P8/$P$17</f>
        <v>#DIV/0!</v>
      </c>
      <c r="R8" s="78">
        <v>0</v>
      </c>
      <c r="S8" s="79" t="e">
        <f>R8/$R$17</f>
        <v>#DIV/0!</v>
      </c>
      <c r="T8" s="78">
        <v>0</v>
      </c>
      <c r="U8" s="86" t="e">
        <f>T8/$T$17</f>
        <v>#DIV/0!</v>
      </c>
      <c r="V8" s="78">
        <v>0</v>
      </c>
      <c r="W8" s="79" t="e">
        <f>V8/$V$17</f>
        <v>#DIV/0!</v>
      </c>
      <c r="X8" s="78">
        <v>0</v>
      </c>
      <c r="Y8" s="80" t="e">
        <f>X8/$X$17</f>
        <v>#DIV/0!</v>
      </c>
      <c r="Z8" s="82">
        <f t="shared" si="0"/>
        <v>311.65999999999997</v>
      </c>
      <c r="AA8" s="83">
        <f>Z8/$Z$17</f>
        <v>2.9085268944947406E-2</v>
      </c>
      <c r="AB8" s="84">
        <f t="shared" si="1"/>
        <v>28.332727272727269</v>
      </c>
    </row>
    <row r="9" spans="1:34">
      <c r="A9" s="87" t="s">
        <v>178</v>
      </c>
      <c r="B9" s="81">
        <v>0</v>
      </c>
      <c r="C9" s="79">
        <f t="shared" ref="C9:C16" si="2">B9/$B$17</f>
        <v>0</v>
      </c>
      <c r="D9" s="78">
        <v>0</v>
      </c>
      <c r="E9" s="80">
        <f t="shared" ref="E9:E16" si="3">D9/$D$17</f>
        <v>0</v>
      </c>
      <c r="F9" s="81">
        <v>0</v>
      </c>
      <c r="G9" s="80">
        <f t="shared" ref="G9:H16" si="4">F9/$F$17</f>
        <v>0</v>
      </c>
      <c r="H9" s="81">
        <v>0</v>
      </c>
      <c r="I9" s="79">
        <f t="shared" ref="I9:I16" si="5">H9/$H$17</f>
        <v>0</v>
      </c>
      <c r="J9" s="78">
        <v>0</v>
      </c>
      <c r="K9" s="79">
        <f t="shared" ref="K9:K16" si="6">J9/$J$17</f>
        <v>0</v>
      </c>
      <c r="L9" s="78">
        <v>60</v>
      </c>
      <c r="M9" s="79">
        <f t="shared" ref="M9:M16" si="7">L9/$L$17</f>
        <v>2.1370946198642948E-2</v>
      </c>
      <c r="N9" s="78">
        <v>0</v>
      </c>
      <c r="O9" s="79" t="e">
        <f t="shared" ref="O9:O16" si="8">N9/$N$17</f>
        <v>#DIV/0!</v>
      </c>
      <c r="P9" s="78">
        <v>0</v>
      </c>
      <c r="Q9" s="79" t="e">
        <f t="shared" ref="Q9:Q16" si="9">P9/$P$17</f>
        <v>#DIV/0!</v>
      </c>
      <c r="R9" s="78">
        <v>0</v>
      </c>
      <c r="S9" s="79" t="e">
        <f t="shared" ref="S9:S16" si="10">R9/$R$17</f>
        <v>#DIV/0!</v>
      </c>
      <c r="T9" s="78">
        <v>0</v>
      </c>
      <c r="U9" s="79" t="e">
        <f t="shared" ref="U9:U16" si="11">T9/$T$17</f>
        <v>#DIV/0!</v>
      </c>
      <c r="V9" s="78">
        <v>0</v>
      </c>
      <c r="W9" s="79" t="e">
        <f t="shared" ref="W9:W16" si="12">V9/$V$17</f>
        <v>#DIV/0!</v>
      </c>
      <c r="X9" s="78">
        <v>0</v>
      </c>
      <c r="Y9" s="80" t="e">
        <f t="shared" ref="Y9:Y16" si="13">X9/$X$17</f>
        <v>#DIV/0!</v>
      </c>
      <c r="Z9" s="82">
        <f t="shared" si="0"/>
        <v>60</v>
      </c>
      <c r="AA9" s="83">
        <f t="shared" ref="AA9:AA16" si="14">Z9/$Z$17</f>
        <v>5.5994228861478684E-3</v>
      </c>
      <c r="AB9" s="84">
        <f t="shared" si="1"/>
        <v>5.4545454545454541</v>
      </c>
    </row>
    <row r="10" spans="1:34">
      <c r="A10" s="88" t="s">
        <v>13</v>
      </c>
      <c r="B10" s="89">
        <v>34.5</v>
      </c>
      <c r="C10" s="90">
        <f t="shared" si="2"/>
        <v>2.2900915372820262E-2</v>
      </c>
      <c r="D10" s="91">
        <v>34</v>
      </c>
      <c r="E10" s="92">
        <f t="shared" si="3"/>
        <v>2.1124179108186859E-2</v>
      </c>
      <c r="F10" s="89">
        <v>141</v>
      </c>
      <c r="G10" s="92">
        <f t="shared" si="4"/>
        <v>6.9392154257282485E-2</v>
      </c>
      <c r="H10" s="89">
        <v>84.49</v>
      </c>
      <c r="I10" s="90">
        <f t="shared" si="5"/>
        <v>5.9862123691910921E-2</v>
      </c>
      <c r="J10" s="91">
        <v>0</v>
      </c>
      <c r="K10" s="90">
        <f t="shared" si="6"/>
        <v>0</v>
      </c>
      <c r="L10" s="91">
        <v>147.63</v>
      </c>
      <c r="M10" s="90">
        <f t="shared" si="7"/>
        <v>5.2583213121760966E-2</v>
      </c>
      <c r="N10" s="91">
        <v>0</v>
      </c>
      <c r="O10" s="90" t="e">
        <f t="shared" si="8"/>
        <v>#DIV/0!</v>
      </c>
      <c r="P10" s="91">
        <v>0</v>
      </c>
      <c r="Q10" s="90" t="e">
        <f t="shared" si="9"/>
        <v>#DIV/0!</v>
      </c>
      <c r="R10" s="91">
        <v>0</v>
      </c>
      <c r="S10" s="90" t="e">
        <f t="shared" si="10"/>
        <v>#DIV/0!</v>
      </c>
      <c r="T10" s="91">
        <v>0</v>
      </c>
      <c r="U10" s="90" t="e">
        <f t="shared" si="11"/>
        <v>#DIV/0!</v>
      </c>
      <c r="V10" s="91">
        <v>0</v>
      </c>
      <c r="W10" s="90" t="e">
        <f t="shared" si="12"/>
        <v>#DIV/0!</v>
      </c>
      <c r="X10" s="91">
        <v>0</v>
      </c>
      <c r="Y10" s="92" t="e">
        <f t="shared" si="13"/>
        <v>#DIV/0!</v>
      </c>
      <c r="Z10" s="93">
        <f t="shared" ref="Z10:Z16" si="15">SUM(X10,V10,T10,R10,P10,N10,L10,J10,H10,F10,D10,B10)</f>
        <v>441.62</v>
      </c>
      <c r="AA10" s="94">
        <f t="shared" si="14"/>
        <v>4.1213618916343689E-2</v>
      </c>
      <c r="AB10" s="95">
        <f t="shared" ref="AB10:AB16" si="16">AVERAGE(X10,V10,T10,R10,P10,N10,L10,J10,H10,D10,B10)</f>
        <v>27.329090909090908</v>
      </c>
    </row>
    <row r="11" spans="1:34">
      <c r="A11" s="88" t="s">
        <v>179</v>
      </c>
      <c r="B11" s="89">
        <v>145</v>
      </c>
      <c r="C11" s="90">
        <f t="shared" si="2"/>
        <v>9.6250224030693846E-2</v>
      </c>
      <c r="D11" s="91">
        <v>357.5</v>
      </c>
      <c r="E11" s="92">
        <f t="shared" si="3"/>
        <v>0.22211453032872946</v>
      </c>
      <c r="F11" s="89">
        <v>0</v>
      </c>
      <c r="G11" s="92">
        <f t="shared" si="4"/>
        <v>0</v>
      </c>
      <c r="H11" s="89">
        <v>0</v>
      </c>
      <c r="I11" s="90">
        <f t="shared" si="5"/>
        <v>0</v>
      </c>
      <c r="J11" s="91">
        <v>0</v>
      </c>
      <c r="K11" s="90">
        <f t="shared" si="6"/>
        <v>0</v>
      </c>
      <c r="L11" s="91">
        <v>0</v>
      </c>
      <c r="M11" s="90">
        <f t="shared" si="7"/>
        <v>0</v>
      </c>
      <c r="N11" s="91">
        <v>0</v>
      </c>
      <c r="O11" s="90" t="e">
        <f t="shared" si="8"/>
        <v>#DIV/0!</v>
      </c>
      <c r="P11" s="91">
        <v>0</v>
      </c>
      <c r="Q11" s="90" t="e">
        <f t="shared" si="9"/>
        <v>#DIV/0!</v>
      </c>
      <c r="R11" s="91">
        <v>0</v>
      </c>
      <c r="S11" s="90" t="e">
        <f t="shared" si="10"/>
        <v>#DIV/0!</v>
      </c>
      <c r="T11" s="91">
        <v>0</v>
      </c>
      <c r="U11" s="90" t="e">
        <f t="shared" si="11"/>
        <v>#DIV/0!</v>
      </c>
      <c r="V11" s="91">
        <v>0</v>
      </c>
      <c r="W11" s="90" t="e">
        <f t="shared" si="12"/>
        <v>#DIV/0!</v>
      </c>
      <c r="X11" s="91">
        <v>0</v>
      </c>
      <c r="Y11" s="92" t="e">
        <f t="shared" si="13"/>
        <v>#DIV/0!</v>
      </c>
      <c r="Z11" s="93">
        <f t="shared" si="15"/>
        <v>502.5</v>
      </c>
      <c r="AA11" s="94">
        <f t="shared" si="14"/>
        <v>4.6895166671488395E-2</v>
      </c>
      <c r="AB11" s="95">
        <f t="shared" si="16"/>
        <v>45.68181818181818</v>
      </c>
    </row>
    <row r="12" spans="1:34">
      <c r="A12" s="88" t="s">
        <v>180</v>
      </c>
      <c r="B12" s="89">
        <v>68.38</v>
      </c>
      <c r="C12" s="90">
        <f t="shared" si="2"/>
        <v>4.5390278063578239E-2</v>
      </c>
      <c r="D12" s="91">
        <v>60.4</v>
      </c>
      <c r="E12" s="92">
        <f t="shared" si="3"/>
        <v>3.7526482886308422E-2</v>
      </c>
      <c r="F12" s="89">
        <v>65.47</v>
      </c>
      <c r="G12" s="92">
        <f t="shared" si="4"/>
        <v>3.2220598150526837E-2</v>
      </c>
      <c r="H12" s="89">
        <v>171.56</v>
      </c>
      <c r="I12" s="90">
        <f t="shared" si="5"/>
        <v>0.12155220665858964</v>
      </c>
      <c r="J12" s="91">
        <v>51.67</v>
      </c>
      <c r="K12" s="90">
        <f t="shared" si="6"/>
        <v>3.8317216421452305E-2</v>
      </c>
      <c r="L12" s="91">
        <v>71.86</v>
      </c>
      <c r="M12" s="90">
        <f t="shared" si="7"/>
        <v>2.5595269897241368E-2</v>
      </c>
      <c r="N12" s="91">
        <v>0</v>
      </c>
      <c r="O12" s="90" t="e">
        <f t="shared" si="8"/>
        <v>#DIV/0!</v>
      </c>
      <c r="P12" s="91">
        <v>0</v>
      </c>
      <c r="Q12" s="90" t="e">
        <f t="shared" si="9"/>
        <v>#DIV/0!</v>
      </c>
      <c r="R12" s="91">
        <v>0</v>
      </c>
      <c r="S12" s="90" t="e">
        <f t="shared" si="10"/>
        <v>#DIV/0!</v>
      </c>
      <c r="T12" s="91">
        <v>0</v>
      </c>
      <c r="U12" s="90" t="e">
        <f t="shared" si="11"/>
        <v>#DIV/0!</v>
      </c>
      <c r="V12" s="91">
        <v>0</v>
      </c>
      <c r="W12" s="90" t="e">
        <f t="shared" si="12"/>
        <v>#DIV/0!</v>
      </c>
      <c r="X12" s="91">
        <v>0</v>
      </c>
      <c r="Y12" s="92" t="e">
        <f t="shared" si="13"/>
        <v>#DIV/0!</v>
      </c>
      <c r="Z12" s="93">
        <f t="shared" si="15"/>
        <v>489.34000000000003</v>
      </c>
      <c r="AA12" s="94">
        <f t="shared" si="14"/>
        <v>4.5667026585126634E-2</v>
      </c>
      <c r="AB12" s="95">
        <f t="shared" si="16"/>
        <v>38.533636363636361</v>
      </c>
    </row>
    <row r="13" spans="1:34">
      <c r="A13" s="88" t="s">
        <v>46</v>
      </c>
      <c r="B13" s="89">
        <v>207.88</v>
      </c>
      <c r="C13" s="90">
        <f t="shared" si="2"/>
        <v>0.13798963152759061</v>
      </c>
      <c r="D13" s="91"/>
      <c r="E13" s="92">
        <f t="shared" si="3"/>
        <v>0</v>
      </c>
      <c r="F13" s="89">
        <v>400</v>
      </c>
      <c r="G13" s="92">
        <f t="shared" si="4"/>
        <v>0.1968571751979645</v>
      </c>
      <c r="H13" s="89">
        <v>113</v>
      </c>
      <c r="I13" s="90">
        <f t="shared" si="5"/>
        <v>8.0061782189441766E-2</v>
      </c>
      <c r="J13" s="91">
        <v>345.11</v>
      </c>
      <c r="K13" s="90">
        <f t="shared" si="6"/>
        <v>0.2559251898433792</v>
      </c>
      <c r="L13" s="91">
        <v>1125</v>
      </c>
      <c r="M13" s="90">
        <f t="shared" si="7"/>
        <v>0.40070524122455525</v>
      </c>
      <c r="N13" s="91"/>
      <c r="O13" s="90" t="e">
        <f t="shared" si="8"/>
        <v>#DIV/0!</v>
      </c>
      <c r="P13" s="91"/>
      <c r="Q13" s="90" t="e">
        <f t="shared" si="9"/>
        <v>#DIV/0!</v>
      </c>
      <c r="R13" s="91"/>
      <c r="S13" s="90" t="e">
        <f t="shared" si="10"/>
        <v>#DIV/0!</v>
      </c>
      <c r="T13" s="91"/>
      <c r="U13" s="90" t="e">
        <f t="shared" si="11"/>
        <v>#DIV/0!</v>
      </c>
      <c r="V13" s="91"/>
      <c r="W13" s="90" t="e">
        <f t="shared" si="12"/>
        <v>#DIV/0!</v>
      </c>
      <c r="X13" s="91"/>
      <c r="Y13" s="92" t="e">
        <f t="shared" si="13"/>
        <v>#DIV/0!</v>
      </c>
      <c r="Z13" s="93">
        <f t="shared" ref="Z13" si="17">SUM(X13,V13,T13,R13,P13,N13,L13,J13,H13,F13,D13,B13)</f>
        <v>2190.9900000000002</v>
      </c>
      <c r="AA13" s="94">
        <f t="shared" ref="AA13" si="18">Z13/$Z$17</f>
        <v>0.20447132582201866</v>
      </c>
      <c r="AB13" s="95">
        <f t="shared" ref="AB13" si="19">AVERAGE(X13,V13,T13,R13,P13,N13,L13,J13,H13,D13,B13)</f>
        <v>447.74750000000006</v>
      </c>
    </row>
    <row r="14" spans="1:34">
      <c r="A14" s="88" t="s">
        <v>181</v>
      </c>
      <c r="B14" s="89">
        <v>0</v>
      </c>
      <c r="C14" s="90">
        <f t="shared" si="2"/>
        <v>0</v>
      </c>
      <c r="D14" s="91">
        <v>67.98</v>
      </c>
      <c r="E14" s="92">
        <f t="shared" si="3"/>
        <v>4.2235932228663023E-2</v>
      </c>
      <c r="F14" s="89">
        <v>118.98</v>
      </c>
      <c r="G14" s="92">
        <f t="shared" si="4"/>
        <v>5.8555166762634538E-2</v>
      </c>
      <c r="H14" s="89">
        <v>97.99</v>
      </c>
      <c r="I14" s="90">
        <f t="shared" si="5"/>
        <v>6.9427026873835382E-2</v>
      </c>
      <c r="J14" s="91">
        <v>110.49</v>
      </c>
      <c r="K14" s="90">
        <f t="shared" si="6"/>
        <v>8.1936699098243942E-2</v>
      </c>
      <c r="L14" s="91">
        <v>185.48</v>
      </c>
      <c r="M14" s="90">
        <f t="shared" si="7"/>
        <v>6.6064718348738227E-2</v>
      </c>
      <c r="N14" s="91">
        <v>0</v>
      </c>
      <c r="O14" s="90" t="e">
        <f t="shared" si="8"/>
        <v>#DIV/0!</v>
      </c>
      <c r="P14" s="91">
        <v>0</v>
      </c>
      <c r="Q14" s="90" t="e">
        <f t="shared" si="9"/>
        <v>#DIV/0!</v>
      </c>
      <c r="R14" s="91">
        <v>0</v>
      </c>
      <c r="S14" s="90" t="e">
        <f t="shared" si="10"/>
        <v>#DIV/0!</v>
      </c>
      <c r="T14" s="91">
        <v>0</v>
      </c>
      <c r="U14" s="90" t="e">
        <f t="shared" si="11"/>
        <v>#DIV/0!</v>
      </c>
      <c r="V14" s="91">
        <v>0</v>
      </c>
      <c r="W14" s="90" t="e">
        <f t="shared" si="12"/>
        <v>#DIV/0!</v>
      </c>
      <c r="X14" s="91">
        <v>0</v>
      </c>
      <c r="Y14" s="92" t="e">
        <f t="shared" si="13"/>
        <v>#DIV/0!</v>
      </c>
      <c r="Z14" s="93">
        <f t="shared" si="15"/>
        <v>580.91999999999996</v>
      </c>
      <c r="AA14" s="94">
        <f t="shared" si="14"/>
        <v>5.4213612383683656E-2</v>
      </c>
      <c r="AB14" s="95">
        <f t="shared" si="16"/>
        <v>41.994545454545452</v>
      </c>
    </row>
    <row r="15" spans="1:34">
      <c r="A15" s="88" t="s">
        <v>182</v>
      </c>
      <c r="B15" s="89">
        <v>42</v>
      </c>
      <c r="C15" s="90">
        <f t="shared" si="2"/>
        <v>2.7879375236476839E-2</v>
      </c>
      <c r="D15" s="91">
        <v>42</v>
      </c>
      <c r="E15" s="92">
        <f t="shared" si="3"/>
        <v>2.6094574192466122E-2</v>
      </c>
      <c r="F15" s="89">
        <v>42</v>
      </c>
      <c r="G15" s="92">
        <f t="shared" si="4"/>
        <v>2.0670003395786271E-2</v>
      </c>
      <c r="H15" s="89">
        <v>21</v>
      </c>
      <c r="I15" s="90">
        <f t="shared" si="5"/>
        <v>1.4878738282993602E-2</v>
      </c>
      <c r="J15" s="91">
        <v>0</v>
      </c>
      <c r="K15" s="90">
        <f t="shared" si="6"/>
        <v>0</v>
      </c>
      <c r="L15" s="91">
        <v>50</v>
      </c>
      <c r="M15" s="90">
        <f t="shared" si="7"/>
        <v>1.7809121832202457E-2</v>
      </c>
      <c r="N15" s="91">
        <v>0</v>
      </c>
      <c r="O15" s="90" t="e">
        <f t="shared" si="8"/>
        <v>#DIV/0!</v>
      </c>
      <c r="P15" s="91">
        <v>0</v>
      </c>
      <c r="Q15" s="90" t="e">
        <f t="shared" si="9"/>
        <v>#DIV/0!</v>
      </c>
      <c r="R15" s="91">
        <v>0</v>
      </c>
      <c r="S15" s="90" t="e">
        <f t="shared" si="10"/>
        <v>#DIV/0!</v>
      </c>
      <c r="T15" s="91">
        <v>0</v>
      </c>
      <c r="U15" s="96" t="e">
        <f t="shared" si="11"/>
        <v>#DIV/0!</v>
      </c>
      <c r="V15" s="91">
        <v>0</v>
      </c>
      <c r="W15" s="90" t="e">
        <f t="shared" si="12"/>
        <v>#DIV/0!</v>
      </c>
      <c r="X15" s="91">
        <v>0</v>
      </c>
      <c r="Y15" s="92" t="e">
        <f t="shared" si="13"/>
        <v>#DIV/0!</v>
      </c>
      <c r="Z15" s="93">
        <f t="shared" si="15"/>
        <v>197</v>
      </c>
      <c r="AA15" s="94">
        <f t="shared" si="14"/>
        <v>1.8384771809518832E-2</v>
      </c>
      <c r="AB15" s="95">
        <f t="shared" si="16"/>
        <v>14.090909090909092</v>
      </c>
    </row>
    <row r="16" spans="1:34">
      <c r="A16" s="88" t="s">
        <v>51</v>
      </c>
      <c r="B16" s="89">
        <v>0</v>
      </c>
      <c r="C16" s="90">
        <f t="shared" si="2"/>
        <v>0</v>
      </c>
      <c r="D16" s="91">
        <v>0</v>
      </c>
      <c r="E16" s="92">
        <f t="shared" si="3"/>
        <v>0</v>
      </c>
      <c r="F16" s="89">
        <v>12</v>
      </c>
      <c r="G16" s="92">
        <f t="shared" si="4"/>
        <v>5.9057152559389347E-3</v>
      </c>
      <c r="H16" s="89">
        <v>0</v>
      </c>
      <c r="I16" s="90">
        <f t="shared" si="5"/>
        <v>0</v>
      </c>
      <c r="J16" s="91">
        <v>0</v>
      </c>
      <c r="K16" s="90">
        <f t="shared" si="6"/>
        <v>0</v>
      </c>
      <c r="L16" s="91">
        <v>0</v>
      </c>
      <c r="M16" s="90">
        <f t="shared" si="7"/>
        <v>0</v>
      </c>
      <c r="N16" s="91">
        <v>0</v>
      </c>
      <c r="O16" s="90" t="e">
        <f t="shared" si="8"/>
        <v>#DIV/0!</v>
      </c>
      <c r="P16" s="91">
        <v>0</v>
      </c>
      <c r="Q16" s="90" t="e">
        <f t="shared" si="9"/>
        <v>#DIV/0!</v>
      </c>
      <c r="R16" s="91">
        <v>0</v>
      </c>
      <c r="S16" s="90" t="e">
        <f t="shared" si="10"/>
        <v>#DIV/0!</v>
      </c>
      <c r="T16" s="91">
        <v>0</v>
      </c>
      <c r="U16" s="90" t="e">
        <f t="shared" si="11"/>
        <v>#DIV/0!</v>
      </c>
      <c r="V16" s="91">
        <v>0</v>
      </c>
      <c r="W16" s="90" t="e">
        <f t="shared" si="12"/>
        <v>#DIV/0!</v>
      </c>
      <c r="X16" s="91">
        <v>0</v>
      </c>
      <c r="Y16" s="92" t="e">
        <f t="shared" si="13"/>
        <v>#DIV/0!</v>
      </c>
      <c r="Z16" s="93">
        <f t="shared" si="15"/>
        <v>12</v>
      </c>
      <c r="AA16" s="94">
        <f t="shared" si="14"/>
        <v>1.1198845772295736E-3</v>
      </c>
      <c r="AB16" s="95">
        <f t="shared" si="16"/>
        <v>0</v>
      </c>
    </row>
    <row r="17" spans="1:28" ht="20.25" customHeight="1">
      <c r="A17" s="8" t="s">
        <v>183</v>
      </c>
      <c r="B17" s="232">
        <f>SUM(B3:B16)</f>
        <v>1506.4900000000002</v>
      </c>
      <c r="C17" s="233"/>
      <c r="D17" s="232">
        <f t="shared" ref="D17" si="20">SUM(D3:D16)</f>
        <v>1609.5300000000002</v>
      </c>
      <c r="E17" s="233"/>
      <c r="F17" s="232">
        <f t="shared" ref="F17" si="21">SUM(F3:F16)</f>
        <v>2031.93</v>
      </c>
      <c r="G17" s="233"/>
      <c r="H17" s="232">
        <f t="shared" ref="H17" si="22">SUM(H3:H16)</f>
        <v>1411.41</v>
      </c>
      <c r="I17" s="233"/>
      <c r="J17" s="232">
        <f t="shared" ref="J17" si="23">SUM(J3:J16)</f>
        <v>1348.48</v>
      </c>
      <c r="K17" s="233"/>
      <c r="L17" s="232">
        <f t="shared" ref="L17" si="24">SUM(L3:L16)</f>
        <v>2807.5499999999997</v>
      </c>
      <c r="M17" s="233"/>
      <c r="N17" s="232">
        <f t="shared" ref="N17" si="25">SUM(N3:N16)</f>
        <v>0</v>
      </c>
      <c r="O17" s="233"/>
      <c r="P17" s="232">
        <f t="shared" ref="P17" si="26">SUM(P3:P16)</f>
        <v>0</v>
      </c>
      <c r="Q17" s="233"/>
      <c r="R17" s="232">
        <f t="shared" ref="R17" si="27">SUM(R3:R16)</f>
        <v>0</v>
      </c>
      <c r="S17" s="233"/>
      <c r="T17" s="232">
        <f t="shared" ref="T17" si="28">SUM(T3:T16)</f>
        <v>0</v>
      </c>
      <c r="U17" s="233"/>
      <c r="V17" s="232">
        <f t="shared" ref="V17" si="29">SUM(V3:V16)</f>
        <v>0</v>
      </c>
      <c r="W17" s="233"/>
      <c r="X17" s="232">
        <f t="shared" ref="X17" si="30">SUM(X3:X16)</f>
        <v>0</v>
      </c>
      <c r="Y17" s="233"/>
      <c r="Z17" s="232">
        <f>SUM(Z3:Z16)</f>
        <v>10715.39</v>
      </c>
      <c r="AA17" s="233"/>
      <c r="AB17" s="9">
        <f t="shared" si="1"/>
        <v>789.40545454545452</v>
      </c>
    </row>
    <row r="18" spans="1:28" ht="15.75" customHeight="1">
      <c r="A18" s="108" t="s">
        <v>184</v>
      </c>
      <c r="B18" s="246">
        <v>2403.04</v>
      </c>
      <c r="C18" s="247"/>
      <c r="D18" s="242">
        <v>2276.6799999999998</v>
      </c>
      <c r="E18" s="244"/>
      <c r="F18" s="242">
        <v>2307.1999999999998</v>
      </c>
      <c r="G18" s="243"/>
      <c r="H18" s="244">
        <v>2800.05</v>
      </c>
      <c r="I18" s="243"/>
      <c r="J18" s="242">
        <v>2311.6</v>
      </c>
      <c r="K18" s="243"/>
      <c r="L18" s="242">
        <v>2041.5</v>
      </c>
      <c r="M18" s="243"/>
      <c r="N18" s="242"/>
      <c r="O18" s="243"/>
      <c r="P18" s="242"/>
      <c r="Q18" s="243"/>
      <c r="R18" s="242"/>
      <c r="S18" s="243"/>
      <c r="T18" s="242"/>
      <c r="U18" s="243"/>
      <c r="V18" s="242"/>
      <c r="W18" s="243"/>
      <c r="X18" s="242"/>
      <c r="Y18" s="244"/>
      <c r="Z18" s="242">
        <f>SUM(X18)</f>
        <v>0</v>
      </c>
      <c r="AA18" s="245"/>
      <c r="AB18" s="11"/>
    </row>
    <row r="19" spans="1:28">
      <c r="A19" s="10" t="s">
        <v>185</v>
      </c>
      <c r="B19" s="222">
        <v>1992.42</v>
      </c>
      <c r="C19" s="223"/>
      <c r="D19" s="222">
        <v>1966.9</v>
      </c>
      <c r="E19" s="230"/>
      <c r="F19" s="223">
        <v>2416.06</v>
      </c>
      <c r="G19" s="230"/>
      <c r="H19" s="223">
        <v>2425.9699999999998</v>
      </c>
      <c r="I19" s="223"/>
      <c r="J19" s="222">
        <v>1991.79</v>
      </c>
      <c r="K19" s="223"/>
      <c r="L19" s="222">
        <v>2059.4899999999998</v>
      </c>
      <c r="M19" s="223"/>
      <c r="N19" s="222">
        <v>0</v>
      </c>
      <c r="O19" s="223"/>
      <c r="P19" s="222">
        <v>0</v>
      </c>
      <c r="Q19" s="223"/>
      <c r="R19" s="222">
        <v>0</v>
      </c>
      <c r="S19" s="223"/>
      <c r="T19" s="222">
        <v>0</v>
      </c>
      <c r="U19" s="223"/>
      <c r="V19" s="222">
        <v>0</v>
      </c>
      <c r="W19" s="223"/>
      <c r="X19" s="222">
        <v>0</v>
      </c>
      <c r="Y19" s="230"/>
      <c r="Z19" s="223">
        <f>SUM(B19:Y19)</f>
        <v>12852.63</v>
      </c>
      <c r="AA19" s="223"/>
      <c r="AB19" s="11">
        <f t="shared" si="1"/>
        <v>948.77909090909088</v>
      </c>
    </row>
    <row r="20" spans="1:28">
      <c r="A20" s="106" t="s">
        <v>186</v>
      </c>
      <c r="B20" s="229">
        <f>B19-B17</f>
        <v>485.92999999999984</v>
      </c>
      <c r="C20" s="228"/>
      <c r="D20" s="224">
        <f>D19-D17</f>
        <v>357.36999999999989</v>
      </c>
      <c r="E20" s="225"/>
      <c r="F20" s="224">
        <f>F19-F17</f>
        <v>384.12999999999988</v>
      </c>
      <c r="G20" s="225"/>
      <c r="H20" s="224">
        <f>H19-H17</f>
        <v>1014.5599999999997</v>
      </c>
      <c r="I20" s="226"/>
      <c r="J20" s="227">
        <f t="shared" ref="J20:Y20" si="31">J19-J17</f>
        <v>643.30999999999995</v>
      </c>
      <c r="K20" s="228"/>
      <c r="L20" s="224">
        <f t="shared" ref="L20:Y20" si="32">L19-L17</f>
        <v>-748.06</v>
      </c>
      <c r="M20" s="225"/>
      <c r="N20" s="224">
        <f t="shared" ref="N20:Y20" si="33">N19-N17</f>
        <v>0</v>
      </c>
      <c r="O20" s="225"/>
      <c r="P20" s="224">
        <f t="shared" ref="P20:Y20" si="34">P19-P17</f>
        <v>0</v>
      </c>
      <c r="Q20" s="226"/>
      <c r="R20" s="227">
        <f t="shared" ref="R20:Y20" si="35">R19-R17</f>
        <v>0</v>
      </c>
      <c r="S20" s="228"/>
      <c r="T20" s="224">
        <f t="shared" ref="T20:Y20" si="36">T19-T17</f>
        <v>0</v>
      </c>
      <c r="U20" s="225"/>
      <c r="V20" s="224">
        <f t="shared" ref="V20:Y20" si="37">V19-V17</f>
        <v>0</v>
      </c>
      <c r="W20" s="225"/>
      <c r="X20" s="224">
        <f t="shared" ref="X20:Y20" si="38">X19-X17</f>
        <v>0</v>
      </c>
      <c r="Y20" s="225"/>
      <c r="Z20" s="224">
        <f>SUM(B20:Y20)</f>
        <v>2137.2399999999993</v>
      </c>
      <c r="AA20" s="225"/>
      <c r="AB20" s="107">
        <f t="shared" si="1"/>
        <v>159.37363636363631</v>
      </c>
    </row>
    <row r="21" spans="1:28">
      <c r="A21" s="105" t="s">
        <v>187</v>
      </c>
      <c r="B21" s="221">
        <v>3000</v>
      </c>
      <c r="C21" s="220"/>
      <c r="D21" s="217">
        <v>500</v>
      </c>
      <c r="E21" s="220"/>
      <c r="F21" s="217">
        <v>500</v>
      </c>
      <c r="G21" s="220"/>
      <c r="H21" s="217">
        <v>700</v>
      </c>
      <c r="I21" s="220"/>
      <c r="J21" s="217">
        <v>200</v>
      </c>
      <c r="K21" s="218"/>
      <c r="L21" s="219">
        <v>200</v>
      </c>
      <c r="M21" s="220"/>
      <c r="N21" s="217"/>
      <c r="O21" s="218"/>
      <c r="P21" s="219"/>
      <c r="Q21" s="220"/>
      <c r="R21" s="217"/>
      <c r="S21" s="218"/>
      <c r="T21" s="219"/>
      <c r="U21" s="220"/>
      <c r="V21" s="209"/>
      <c r="W21" s="210"/>
      <c r="X21" s="209"/>
      <c r="Y21" s="210"/>
      <c r="Z21" s="211">
        <f>SUM(B21:Y21)</f>
        <v>5100</v>
      </c>
      <c r="AA21" s="212"/>
      <c r="AB21" s="213"/>
    </row>
    <row r="22" spans="1:28">
      <c r="A22" s="105" t="s">
        <v>188</v>
      </c>
      <c r="B22" s="221">
        <f>10000-B21</f>
        <v>7000</v>
      </c>
      <c r="C22" s="220"/>
      <c r="D22" s="209">
        <f>B22-D21</f>
        <v>6500</v>
      </c>
      <c r="E22" s="210"/>
      <c r="F22" s="209">
        <f>D22-F21</f>
        <v>6000</v>
      </c>
      <c r="G22" s="210"/>
      <c r="H22" s="209">
        <f>F22-H21</f>
        <v>5300</v>
      </c>
      <c r="I22" s="210"/>
      <c r="J22" s="209">
        <f>H22-J21</f>
        <v>5100</v>
      </c>
      <c r="K22" s="210"/>
      <c r="L22" s="209">
        <f>J22-L21</f>
        <v>4900</v>
      </c>
      <c r="M22" s="210"/>
      <c r="N22" s="209">
        <f>L22-N21</f>
        <v>4900</v>
      </c>
      <c r="O22" s="210"/>
      <c r="P22" s="209">
        <f>N22-P21</f>
        <v>4900</v>
      </c>
      <c r="Q22" s="210"/>
      <c r="R22" s="209">
        <f>P22-R21</f>
        <v>4900</v>
      </c>
      <c r="S22" s="210"/>
      <c r="T22" s="209">
        <f>R22-T21</f>
        <v>4900</v>
      </c>
      <c r="U22" s="210"/>
      <c r="V22" s="209">
        <f>T22-V21</f>
        <v>4900</v>
      </c>
      <c r="W22" s="210"/>
      <c r="X22" s="209">
        <f>V22-X21</f>
        <v>4900</v>
      </c>
      <c r="Y22" s="210"/>
      <c r="Z22" s="214"/>
      <c r="AA22" s="215"/>
      <c r="AB22" s="216"/>
    </row>
  </sheetData>
  <mergeCells count="93">
    <mergeCell ref="L18:M18"/>
    <mergeCell ref="N18:O18"/>
    <mergeCell ref="P18:Q18"/>
    <mergeCell ref="R18:S18"/>
    <mergeCell ref="T18:U18"/>
    <mergeCell ref="D18:E18"/>
    <mergeCell ref="F18:G18"/>
    <mergeCell ref="B18:C18"/>
    <mergeCell ref="H18:I18"/>
    <mergeCell ref="J18:K18"/>
    <mergeCell ref="V1:W1"/>
    <mergeCell ref="X1:Y1"/>
    <mergeCell ref="Z1:AB1"/>
    <mergeCell ref="X19:Y19"/>
    <mergeCell ref="Z19:AA19"/>
    <mergeCell ref="V18:W18"/>
    <mergeCell ref="X18:Y18"/>
    <mergeCell ref="Z18:AA18"/>
    <mergeCell ref="L1:M1"/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AD1:AE1"/>
    <mergeCell ref="AG1:AH1"/>
    <mergeCell ref="X17:Y17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Z17:AA17"/>
    <mergeCell ref="J1:K1"/>
    <mergeCell ref="L19:M19"/>
    <mergeCell ref="N19:O19"/>
    <mergeCell ref="P19:Q19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L20:M20"/>
    <mergeCell ref="Z20:AA20"/>
    <mergeCell ref="V19:W19"/>
    <mergeCell ref="R20:S20"/>
    <mergeCell ref="T20:U20"/>
    <mergeCell ref="V20:W20"/>
    <mergeCell ref="X20:Y20"/>
    <mergeCell ref="N21:O21"/>
    <mergeCell ref="N22:O22"/>
    <mergeCell ref="P21:Q21"/>
    <mergeCell ref="R19:S19"/>
    <mergeCell ref="T19:U19"/>
    <mergeCell ref="N20:O20"/>
    <mergeCell ref="P20:Q20"/>
    <mergeCell ref="H21:I21"/>
    <mergeCell ref="H22:I22"/>
    <mergeCell ref="J21:K21"/>
    <mergeCell ref="J22:K22"/>
    <mergeCell ref="L21:M21"/>
    <mergeCell ref="L22:M22"/>
    <mergeCell ref="B21:C21"/>
    <mergeCell ref="B22:C22"/>
    <mergeCell ref="D21:E21"/>
    <mergeCell ref="D22:E22"/>
    <mergeCell ref="F21:G21"/>
    <mergeCell ref="F22:G22"/>
    <mergeCell ref="V21:W21"/>
    <mergeCell ref="V22:W22"/>
    <mergeCell ref="Z21:AB22"/>
    <mergeCell ref="P22:Q22"/>
    <mergeCell ref="R21:S21"/>
    <mergeCell ref="R22:S22"/>
    <mergeCell ref="T21:U21"/>
    <mergeCell ref="T22:U22"/>
    <mergeCell ref="X21:Y21"/>
    <mergeCell ref="X22:Y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2025-11-27T13:07:42Z</dcterms:created>
  <dcterms:modified xsi:type="dcterms:W3CDTF">2026-07-17T12:46:47Z</dcterms:modified>
  <cp:category/>
  <cp:contentStatus/>
</cp:coreProperties>
</file>