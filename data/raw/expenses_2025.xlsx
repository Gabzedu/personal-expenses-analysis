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xr:revisionPtr revIDLastSave="0" documentId="8_{847B4B8C-0C92-4133-A9C6-3567FF65DA59}" xr6:coauthVersionLast="47" xr6:coauthVersionMax="47" xr10:uidLastSave="{00000000-0000-0000-0000-000000000000}"/>
  <bookViews>
    <workbookView xWindow="240" yWindow="105" windowWidth="14805" windowHeight="8010" firstSheet="12" activeTab="12" xr2:uid="{00000000-000D-0000-FFFF-FFFF00000000}"/>
  </bookViews>
  <sheets>
    <sheet name="JANEIRO 25" sheetId="1" r:id="rId1"/>
    <sheet name="FEVEREIRO 25" sheetId="3" r:id="rId2"/>
    <sheet name="MARÇO 25" sheetId="4" r:id="rId3"/>
    <sheet name="ABRIL 25" sheetId="5" r:id="rId4"/>
    <sheet name="MAIO 25" sheetId="7" r:id="rId5"/>
    <sheet name="JUNHO 25" sheetId="8" r:id="rId6"/>
    <sheet name="JULHO 25 " sheetId="10" r:id="rId7"/>
    <sheet name="AGOSTO 25" sheetId="11" r:id="rId8"/>
    <sheet name="SETEMBRO 25" sheetId="12" r:id="rId9"/>
    <sheet name="OUTUBRO 25" sheetId="13" r:id="rId10"/>
    <sheet name="NOVEMBRO 25" sheetId="14" r:id="rId11"/>
    <sheet name="DEZEMBRO 25" sheetId="15" r:id="rId12"/>
    <sheet name="OVEERVIEW DESPESAS 2025" sheetId="2" r:id="rId13"/>
    <sheet name="planos trading" sheetId="6"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11" i="2" l="1"/>
  <c r="Z14" i="2"/>
  <c r="D13" i="2"/>
  <c r="F13" i="2"/>
  <c r="H13" i="2"/>
  <c r="J13" i="2"/>
  <c r="L13" i="2"/>
  <c r="N13" i="2"/>
  <c r="P13" i="2"/>
  <c r="R13" i="2"/>
  <c r="T13" i="2"/>
  <c r="V13" i="2"/>
  <c r="X13" i="2"/>
  <c r="B13" i="2"/>
  <c r="X10" i="2"/>
  <c r="E23" i="14"/>
  <c r="AB4" i="2"/>
  <c r="AB5" i="2"/>
  <c r="AB6" i="2"/>
  <c r="AB7" i="2"/>
  <c r="AB8" i="2"/>
  <c r="AB9" i="2"/>
  <c r="AB12" i="2"/>
  <c r="AB3" i="2"/>
  <c r="V30" i="15"/>
  <c r="T30" i="15"/>
  <c r="R30" i="15"/>
  <c r="R31" i="15" s="1"/>
  <c r="P30" i="15"/>
  <c r="N30" i="15"/>
  <c r="K30" i="15"/>
  <c r="K31" i="15" s="1"/>
  <c r="K32" i="15" s="1"/>
  <c r="J24" i="15"/>
  <c r="J30" i="15" s="1"/>
  <c r="J31" i="15" s="1"/>
  <c r="E14" i="15"/>
  <c r="E8" i="15"/>
  <c r="E6" i="15"/>
  <c r="E5" i="15"/>
  <c r="V30" i="14"/>
  <c r="T30" i="14"/>
  <c r="R30" i="14"/>
  <c r="R31" i="14" s="1"/>
  <c r="P30" i="14"/>
  <c r="N30" i="14"/>
  <c r="K30" i="14"/>
  <c r="K31" i="14" s="1"/>
  <c r="K32" i="14" s="1"/>
  <c r="J24" i="14"/>
  <c r="J30" i="14" s="1"/>
  <c r="J31" i="14" s="1"/>
  <c r="E8" i="14"/>
  <c r="E6" i="14"/>
  <c r="E5" i="14"/>
  <c r="X30" i="13"/>
  <c r="V30" i="13"/>
  <c r="T30" i="13"/>
  <c r="R30" i="13"/>
  <c r="R31" i="13" s="1"/>
  <c r="P30" i="13"/>
  <c r="N30" i="13"/>
  <c r="K30" i="13"/>
  <c r="K31" i="13" s="1"/>
  <c r="K32" i="13" s="1"/>
  <c r="J27" i="13"/>
  <c r="J24" i="13"/>
  <c r="J30" i="13" s="1"/>
  <c r="J31" i="13" s="1"/>
  <c r="E14" i="13"/>
  <c r="E8" i="13"/>
  <c r="E6" i="13"/>
  <c r="E5" i="13"/>
  <c r="X30" i="12"/>
  <c r="V30" i="12"/>
  <c r="T30" i="12"/>
  <c r="R30" i="12"/>
  <c r="R31" i="12" s="1"/>
  <c r="P30" i="12"/>
  <c r="N30" i="12"/>
  <c r="K30" i="12"/>
  <c r="K31" i="12" s="1"/>
  <c r="K32" i="12" s="1"/>
  <c r="J27" i="12"/>
  <c r="J24" i="12"/>
  <c r="J30" i="12" s="1"/>
  <c r="J31" i="12" s="1"/>
  <c r="E14" i="12"/>
  <c r="E8" i="12"/>
  <c r="E6" i="12"/>
  <c r="E5" i="12"/>
  <c r="X30" i="11"/>
  <c r="V30" i="11"/>
  <c r="T30" i="11"/>
  <c r="R30" i="11"/>
  <c r="R31" i="11" s="1"/>
  <c r="P30" i="11"/>
  <c r="N30" i="11"/>
  <c r="K30" i="11"/>
  <c r="K31" i="11" s="1"/>
  <c r="K32" i="11" s="1"/>
  <c r="J27" i="11"/>
  <c r="J24" i="11"/>
  <c r="J30" i="11" s="1"/>
  <c r="J31" i="11" s="1"/>
  <c r="E14" i="11"/>
  <c r="E8" i="11"/>
  <c r="E6" i="11"/>
  <c r="E5" i="11"/>
  <c r="AJ10" i="2"/>
  <c r="AJ14" i="2" s="1"/>
  <c r="AD10" i="2"/>
  <c r="AG10" i="2"/>
  <c r="AG14" i="2" s="1"/>
  <c r="AK9" i="2"/>
  <c r="AH9" i="2"/>
  <c r="AK4" i="2"/>
  <c r="AK5" i="2"/>
  <c r="AK6" i="2"/>
  <c r="AK7" i="2"/>
  <c r="AK8" i="2"/>
  <c r="AK3" i="2"/>
  <c r="AH3" i="2"/>
  <c r="AE4" i="2"/>
  <c r="AE5" i="2"/>
  <c r="AE6" i="2"/>
  <c r="AE7" i="2"/>
  <c r="AE8" i="2"/>
  <c r="AE3" i="2"/>
  <c r="X30" i="10"/>
  <c r="V30" i="10"/>
  <c r="T30" i="10"/>
  <c r="R30" i="10"/>
  <c r="R31" i="10" s="1"/>
  <c r="P30" i="10"/>
  <c r="N30" i="10"/>
  <c r="K30" i="10"/>
  <c r="K31" i="10" s="1"/>
  <c r="K32" i="10" s="1"/>
  <c r="J27" i="10"/>
  <c r="J24" i="10"/>
  <c r="J30" i="10" s="1"/>
  <c r="J31" i="10" s="1"/>
  <c r="E14" i="10"/>
  <c r="E8" i="10"/>
  <c r="E6" i="10"/>
  <c r="E5" i="10"/>
  <c r="X30" i="8"/>
  <c r="V30" i="8"/>
  <c r="T30" i="8"/>
  <c r="R30" i="8"/>
  <c r="R31" i="8"/>
  <c r="P30" i="8"/>
  <c r="N30" i="8"/>
  <c r="K30" i="8"/>
  <c r="K31" i="8"/>
  <c r="K32" i="8"/>
  <c r="J27" i="8"/>
  <c r="J24" i="8"/>
  <c r="J30" i="8"/>
  <c r="J31" i="8"/>
  <c r="E14" i="8"/>
  <c r="E8" i="8"/>
  <c r="E6" i="8"/>
  <c r="E5" i="8"/>
  <c r="X30" i="7"/>
  <c r="V30" i="7"/>
  <c r="T30" i="7"/>
  <c r="R30" i="7"/>
  <c r="R31" i="7"/>
  <c r="P30" i="7"/>
  <c r="N30" i="7"/>
  <c r="K30" i="7"/>
  <c r="K31" i="7"/>
  <c r="K32" i="7"/>
  <c r="J27" i="7"/>
  <c r="J24" i="7"/>
  <c r="J30" i="7"/>
  <c r="J31" i="7"/>
  <c r="E14" i="7"/>
  <c r="E8" i="7"/>
  <c r="E6" i="7"/>
  <c r="E5" i="7"/>
  <c r="X30" i="5"/>
  <c r="V30" i="5"/>
  <c r="T30" i="5"/>
  <c r="R30" i="5"/>
  <c r="R31" i="5"/>
  <c r="P30" i="5"/>
  <c r="N30" i="5"/>
  <c r="K30" i="5"/>
  <c r="K31" i="5"/>
  <c r="K32" i="5"/>
  <c r="J27" i="5"/>
  <c r="J24" i="5"/>
  <c r="J30" i="5"/>
  <c r="J31" i="5"/>
  <c r="E14" i="5"/>
  <c r="E8" i="5"/>
  <c r="E6" i="5"/>
  <c r="E5" i="5"/>
  <c r="X30" i="4"/>
  <c r="V30" i="4"/>
  <c r="T30" i="4"/>
  <c r="R30" i="4"/>
  <c r="R31" i="4"/>
  <c r="P30" i="4"/>
  <c r="N30" i="4"/>
  <c r="K30" i="4"/>
  <c r="K31" i="4"/>
  <c r="K32" i="4"/>
  <c r="J27" i="4"/>
  <c r="J24" i="4"/>
  <c r="J30" i="4"/>
  <c r="J31" i="4"/>
  <c r="E14" i="4"/>
  <c r="E8" i="4"/>
  <c r="E6" i="4"/>
  <c r="E5" i="4"/>
  <c r="X30" i="3"/>
  <c r="V30" i="3"/>
  <c r="T30" i="3"/>
  <c r="R30" i="3"/>
  <c r="R31" i="3"/>
  <c r="P30" i="3"/>
  <c r="N30" i="3"/>
  <c r="K30" i="3"/>
  <c r="K31" i="3"/>
  <c r="K32" i="3"/>
  <c r="J27" i="3"/>
  <c r="J24" i="3"/>
  <c r="J30" i="3"/>
  <c r="J31" i="3"/>
  <c r="E14" i="3"/>
  <c r="E8" i="3"/>
  <c r="E6" i="3"/>
  <c r="E5" i="3"/>
  <c r="V10" i="2"/>
  <c r="V14" i="2" s="1"/>
  <c r="R10" i="2"/>
  <c r="R14" i="2" s="1"/>
  <c r="T10" i="2"/>
  <c r="T14" i="2" s="1"/>
  <c r="H10" i="2"/>
  <c r="H14" i="2" s="1"/>
  <c r="J10" i="2"/>
  <c r="J14" i="2" s="1"/>
  <c r="L10" i="2"/>
  <c r="L14" i="2" s="1"/>
  <c r="N10" i="2"/>
  <c r="N14" i="2" s="1"/>
  <c r="P10" i="2"/>
  <c r="P14" i="2" s="1"/>
  <c r="F10" i="2"/>
  <c r="F14" i="2" s="1"/>
  <c r="Z12" i="2"/>
  <c r="AM12" i="2" s="1"/>
  <c r="D10" i="2"/>
  <c r="D14" i="2" s="1"/>
  <c r="B10" i="2"/>
  <c r="B14" i="2" s="1"/>
  <c r="Z9" i="2"/>
  <c r="AM9" i="2" s="1"/>
  <c r="E9" i="2"/>
  <c r="C9" i="2"/>
  <c r="Z8" i="2"/>
  <c r="AM8" i="2" s="1"/>
  <c r="E8" i="2"/>
  <c r="C8" i="2"/>
  <c r="Z7" i="2"/>
  <c r="AM7" i="2" s="1"/>
  <c r="E7" i="2"/>
  <c r="C7" i="2"/>
  <c r="Z6" i="2"/>
  <c r="AM6" i="2" s="1"/>
  <c r="E6" i="2"/>
  <c r="C6" i="2"/>
  <c r="Z5" i="2"/>
  <c r="AM5" i="2" s="1"/>
  <c r="E5" i="2"/>
  <c r="C5" i="2"/>
  <c r="Z4" i="2"/>
  <c r="AM4" i="2" s="1"/>
  <c r="E4" i="2"/>
  <c r="C4" i="2"/>
  <c r="Z3" i="2"/>
  <c r="AM3" i="2" s="1"/>
  <c r="AM10" i="2" s="1"/>
  <c r="Z10" i="2"/>
  <c r="E3" i="2"/>
  <c r="C3" i="2"/>
  <c r="J24" i="1"/>
  <c r="K30" i="1"/>
  <c r="N30" i="1"/>
  <c r="P30" i="1"/>
  <c r="R30" i="1"/>
  <c r="T30" i="1"/>
  <c r="V30" i="1"/>
  <c r="X30" i="1"/>
  <c r="J27" i="1"/>
  <c r="J30" i="1"/>
  <c r="K31" i="1"/>
  <c r="R31" i="1"/>
  <c r="K32" i="1"/>
  <c r="J31" i="1"/>
  <c r="E14" i="1"/>
  <c r="E8" i="1"/>
  <c r="E6" i="1"/>
  <c r="E5" i="1"/>
  <c r="E7" i="8"/>
  <c r="E7" i="7"/>
  <c r="E7" i="5"/>
  <c r="E7" i="4"/>
  <c r="E7" i="3"/>
  <c r="E7" i="1"/>
  <c r="G9" i="2"/>
  <c r="G8" i="2"/>
  <c r="G7" i="2"/>
  <c r="G6" i="2"/>
  <c r="G5" i="2"/>
  <c r="G4" i="2"/>
  <c r="G3" i="2"/>
  <c r="Q9" i="2"/>
  <c r="Q8" i="2"/>
  <c r="Q7" i="2"/>
  <c r="Q6" i="2"/>
  <c r="Q5" i="2"/>
  <c r="Q4" i="2"/>
  <c r="Q3" i="2"/>
  <c r="O9" i="2"/>
  <c r="O8" i="2"/>
  <c r="O7" i="2"/>
  <c r="O6" i="2"/>
  <c r="O5" i="2"/>
  <c r="O4" i="2"/>
  <c r="O3" i="2"/>
  <c r="M9" i="2"/>
  <c r="M8" i="2"/>
  <c r="M7" i="2"/>
  <c r="M6" i="2"/>
  <c r="M5" i="2"/>
  <c r="M4" i="2"/>
  <c r="M3" i="2"/>
  <c r="K9" i="2"/>
  <c r="K8" i="2"/>
  <c r="K7" i="2"/>
  <c r="K6" i="2"/>
  <c r="K5" i="2"/>
  <c r="K4" i="2"/>
  <c r="K3" i="2"/>
  <c r="I9" i="2"/>
  <c r="I8" i="2"/>
  <c r="I7" i="2"/>
  <c r="I6" i="2"/>
  <c r="I5" i="2"/>
  <c r="I4" i="2"/>
  <c r="I3" i="2"/>
  <c r="S3" i="2"/>
  <c r="S4" i="2"/>
  <c r="S5" i="2"/>
  <c r="S6" i="2"/>
  <c r="S7" i="2"/>
  <c r="S8" i="2"/>
  <c r="S9" i="2"/>
  <c r="U3" i="2"/>
  <c r="U4" i="2"/>
  <c r="U5" i="2"/>
  <c r="U6" i="2"/>
  <c r="U7" i="2"/>
  <c r="U8" i="2"/>
  <c r="U9" i="2"/>
  <c r="Y9" i="2"/>
  <c r="Y8" i="2"/>
  <c r="Y7" i="2"/>
  <c r="Y6" i="2"/>
  <c r="Y5" i="2"/>
  <c r="Y4" i="2"/>
  <c r="Y3" i="2"/>
  <c r="W9" i="2"/>
  <c r="W8" i="2"/>
  <c r="W7" i="2"/>
  <c r="W6" i="2"/>
  <c r="W5" i="2"/>
  <c r="W4" i="2"/>
  <c r="W3" i="2"/>
  <c r="AA4" i="2"/>
  <c r="AN4" i="2" s="1"/>
  <c r="AA5" i="2"/>
  <c r="AN5" i="2" s="1"/>
  <c r="AA6" i="2"/>
  <c r="AN6" i="2" s="1"/>
  <c r="AA7" i="2"/>
  <c r="AN7" i="2" s="1"/>
  <c r="AA8" i="2"/>
  <c r="AN8" i="2" s="1"/>
  <c r="AA9" i="2"/>
  <c r="AN9" i="2" s="1"/>
  <c r="Z13" i="2" l="1"/>
  <c r="AM14" i="2"/>
  <c r="AE9" i="2"/>
  <c r="AD14" i="2"/>
  <c r="E14" i="14"/>
  <c r="X14" i="2"/>
  <c r="AB10" i="2"/>
  <c r="E7" i="15"/>
  <c r="E7" i="14"/>
  <c r="E7" i="13"/>
  <c r="E7" i="12"/>
  <c r="E7" i="11"/>
  <c r="AA3" i="2"/>
  <c r="AN3" i="2" s="1"/>
  <c r="AH4" i="2"/>
  <c r="AH5" i="2"/>
  <c r="AH6" i="2"/>
  <c r="AH7" i="2"/>
  <c r="AH8" i="2"/>
  <c r="E7" i="10"/>
  <c r="AB14" i="2" l="1"/>
  <c r="Z17" i="2"/>
</calcChain>
</file>

<file path=xl/sharedStrings.xml><?xml version="1.0" encoding="utf-8"?>
<sst xmlns="http://schemas.openxmlformats.org/spreadsheetml/2006/main" count="1278" uniqueCount="353">
  <si>
    <t>GERAL ESTE MÊS</t>
  </si>
  <si>
    <t>JANEIRO (28\12 - 28\1)</t>
  </si>
  <si>
    <t>LEGENDAS</t>
  </si>
  <si>
    <t>FIXOS</t>
  </si>
  <si>
    <t>RECEBIMENTOS</t>
  </si>
  <si>
    <t>BILLS</t>
  </si>
  <si>
    <t xml:space="preserve">HOME FORNITURE </t>
  </si>
  <si>
    <t>SUPER MERCADO</t>
  </si>
  <si>
    <t>OUT</t>
  </si>
  <si>
    <t>PARA MIM</t>
  </si>
  <si>
    <t>ETC</t>
  </si>
  <si>
    <t>WORK (trading)</t>
  </si>
  <si>
    <t>Renda; despesas de casa; telemovel e internet; saude; despesas com o carro, arranjos</t>
  </si>
  <si>
    <t>GERAIS</t>
  </si>
  <si>
    <t>data</t>
  </si>
  <si>
    <t>WHAT</t>
  </si>
  <si>
    <t>€</t>
  </si>
  <si>
    <t>descrição</t>
  </si>
  <si>
    <t>HOME FURNITURE</t>
  </si>
  <si>
    <t>Decoração de casa, ou furniture</t>
  </si>
  <si>
    <t>TOTAL</t>
  </si>
  <si>
    <t>Mês Anterior</t>
  </si>
  <si>
    <t>Renda da casa</t>
  </si>
  <si>
    <t>Temu</t>
  </si>
  <si>
    <t>pizzas</t>
  </si>
  <si>
    <t xml:space="preserve">gym </t>
  </si>
  <si>
    <t>car park</t>
  </si>
  <si>
    <t>Fx Replay</t>
  </si>
  <si>
    <t xml:space="preserve">Tudo o que é comida ou compras de super </t>
  </si>
  <si>
    <t>REVOLUT</t>
  </si>
  <si>
    <t>W</t>
  </si>
  <si>
    <t>Zanzibar (1\1)</t>
  </si>
  <si>
    <t>Luz</t>
  </si>
  <si>
    <t xml:space="preserve">Just eat </t>
  </si>
  <si>
    <t>cabelo</t>
  </si>
  <si>
    <t xml:space="preserve">farmácia </t>
  </si>
  <si>
    <t xml:space="preserve">Nasdaq tempo real </t>
  </si>
  <si>
    <t>TABACO, cafés (fora de casa), bares, cervejas (fora de casa), RESTAURANTES</t>
  </si>
  <si>
    <t>tips</t>
  </si>
  <si>
    <t>Internet</t>
  </si>
  <si>
    <t xml:space="preserve">comer fora </t>
  </si>
  <si>
    <t>viagem PT</t>
  </si>
  <si>
    <t>MIM</t>
  </si>
  <si>
    <t>Roupa; livros; coisas para mim</t>
  </si>
  <si>
    <t>Zanzibar (7\1)</t>
  </si>
  <si>
    <t>Diesel</t>
  </si>
  <si>
    <t xml:space="preserve">just eat </t>
  </si>
  <si>
    <t>meias Dr. Martens</t>
  </si>
  <si>
    <t>Amsterdam</t>
  </si>
  <si>
    <t>Coisas extras que não entram nestas categorias, prendas, etc</t>
  </si>
  <si>
    <t>FUNDO DE URGÊNCIA</t>
  </si>
  <si>
    <t xml:space="preserve">shorts </t>
  </si>
  <si>
    <t>mala lululemon</t>
  </si>
  <si>
    <t xml:space="preserve">vipe Soraia </t>
  </si>
  <si>
    <t>WORK</t>
  </si>
  <si>
    <t xml:space="preserve">Dinheiro para trading \ despesas de trading \ dinheiro que invisto </t>
  </si>
  <si>
    <t>Desde o mês passado</t>
  </si>
  <si>
    <t>Zanibar 14\1)</t>
  </si>
  <si>
    <t xml:space="preserve">shots </t>
  </si>
  <si>
    <t xml:space="preserve">Mac cancealer </t>
  </si>
  <si>
    <t>ryanair Portugal</t>
  </si>
  <si>
    <t>Este mês</t>
  </si>
  <si>
    <t>Restaurante com Miguel e Alex</t>
  </si>
  <si>
    <t>Note Portugal</t>
  </si>
  <si>
    <t>bus dublin - waterford</t>
  </si>
  <si>
    <t>Zanzibar (21\1)</t>
  </si>
  <si>
    <t xml:space="preserve">blusa termica </t>
  </si>
  <si>
    <t>creme para frieiras</t>
  </si>
  <si>
    <t>Tips</t>
  </si>
  <si>
    <t>FUNDO DE EMERGÊNCIA</t>
  </si>
  <si>
    <t>NS</t>
  </si>
  <si>
    <t>DOAR</t>
  </si>
  <si>
    <t>PLANOS CARLOS 5 ANOS</t>
  </si>
  <si>
    <t>PLANOS CARLOS 1 ANO</t>
  </si>
  <si>
    <t>P \ GASTAR</t>
  </si>
  <si>
    <t>FEVEREIRO (28\1 - 28\2)</t>
  </si>
  <si>
    <t>toalhas WC</t>
  </si>
  <si>
    <t>tabaco</t>
  </si>
  <si>
    <t>jogos nitendo</t>
  </si>
  <si>
    <t>prenda Carlos</t>
  </si>
  <si>
    <t>Zanzibar (29\1)</t>
  </si>
  <si>
    <t>sapateira</t>
  </si>
  <si>
    <t>hello fresh</t>
  </si>
  <si>
    <t>Kyoto</t>
  </si>
  <si>
    <t xml:space="preserve">jogo Nitendo </t>
  </si>
  <si>
    <t>manutanção conta CGD</t>
  </si>
  <si>
    <t>tesco</t>
  </si>
  <si>
    <t xml:space="preserve">uber eats </t>
  </si>
  <si>
    <t xml:space="preserve">Nitendo switch </t>
  </si>
  <si>
    <t>viagem ibiza (ibiza - dublin)</t>
  </si>
  <si>
    <t>Zanzibar (5\2)</t>
  </si>
  <si>
    <t xml:space="preserve">remédio para fungos </t>
  </si>
  <si>
    <t>bilhete pt</t>
  </si>
  <si>
    <t>booking em ibiza</t>
  </si>
  <si>
    <t>Zanibar (12\2)</t>
  </si>
  <si>
    <t>comida bali</t>
  </si>
  <si>
    <t>batom</t>
  </si>
  <si>
    <t>Zanzibar (19\2)</t>
  </si>
  <si>
    <t>Zanzibar (26\2)</t>
  </si>
  <si>
    <t>Caio</t>
  </si>
  <si>
    <t>MARÇO (28\2 - 26\3)</t>
  </si>
  <si>
    <t xml:space="preserve">hello fresh </t>
  </si>
  <si>
    <t>just eat sushi</t>
  </si>
  <si>
    <t>Caderno A6</t>
  </si>
  <si>
    <t>Cartão PT</t>
  </si>
  <si>
    <t>Zanzibar (4\3)</t>
  </si>
  <si>
    <t>5\3</t>
  </si>
  <si>
    <t>just eat Lana</t>
  </si>
  <si>
    <t>capa caderno A6</t>
  </si>
  <si>
    <t xml:space="preserve">Leap Card </t>
  </si>
  <si>
    <t xml:space="preserve">erva </t>
  </si>
  <si>
    <t>Boots (produtos para o cabelo e cara)</t>
  </si>
  <si>
    <t xml:space="preserve">anpost fee </t>
  </si>
  <si>
    <t>Zanzibar (11\3)</t>
  </si>
  <si>
    <t>just eat pizza</t>
  </si>
  <si>
    <t>livro</t>
  </si>
  <si>
    <t xml:space="preserve">farmácia saúde </t>
  </si>
  <si>
    <t>almoço casa amigos</t>
  </si>
  <si>
    <t>Zanibar (18\3)</t>
  </si>
  <si>
    <t>seguro do carro</t>
  </si>
  <si>
    <t xml:space="preserve">noite </t>
  </si>
  <si>
    <t>tk maxx</t>
  </si>
  <si>
    <t>license tv</t>
  </si>
  <si>
    <t>livros kindle</t>
  </si>
  <si>
    <t>Zanzibar (25\3)</t>
  </si>
  <si>
    <t xml:space="preserve">animal crossing </t>
  </si>
  <si>
    <t>New Balance sho3es</t>
  </si>
  <si>
    <t>crocs</t>
  </si>
  <si>
    <t xml:space="preserve"> </t>
  </si>
  <si>
    <t>ABRIL (26\3 - 1\5)</t>
  </si>
  <si>
    <t>Saída PT</t>
  </si>
  <si>
    <t>tk max</t>
  </si>
  <si>
    <t xml:space="preserve">bus aeroporto </t>
  </si>
  <si>
    <t>Zanzibar (2\4)</t>
  </si>
  <si>
    <t>23\3</t>
  </si>
  <si>
    <t>Saídas PT</t>
  </si>
  <si>
    <t>Pilates</t>
  </si>
  <si>
    <t>uber eats</t>
  </si>
  <si>
    <t xml:space="preserve">nitendo </t>
  </si>
  <si>
    <t>ibiza (do meu cartão)</t>
  </si>
  <si>
    <t>Zanzibar (9\4)</t>
  </si>
  <si>
    <t>exfoliante</t>
  </si>
  <si>
    <t>bilhete pt de bus</t>
  </si>
  <si>
    <t xml:space="preserve">arranjo do carro </t>
  </si>
  <si>
    <t>medicação para a pele</t>
  </si>
  <si>
    <t>Zanibar (16\4)</t>
  </si>
  <si>
    <t>22\4</t>
  </si>
  <si>
    <t>compras Tesco</t>
  </si>
  <si>
    <t>erva</t>
  </si>
  <si>
    <t>Livro prenda Leo</t>
  </si>
  <si>
    <t>comida Bali</t>
  </si>
  <si>
    <t>Zanzibar (23\4)</t>
  </si>
  <si>
    <t>IBIZA</t>
  </si>
  <si>
    <t>Zanzibar (30\4)</t>
  </si>
  <si>
    <t xml:space="preserve">cash </t>
  </si>
  <si>
    <t>MAIO (1\5 - 28\5)</t>
  </si>
  <si>
    <t>tapar os buracos paredes casa</t>
  </si>
  <si>
    <t>Zanzibar (7\5)</t>
  </si>
  <si>
    <t>14\5</t>
  </si>
  <si>
    <t>kobo plus</t>
  </si>
  <si>
    <t>cabeleireiro</t>
  </si>
  <si>
    <t>Top step</t>
  </si>
  <si>
    <t>Zanzibar (14\5)</t>
  </si>
  <si>
    <t>primark</t>
  </si>
  <si>
    <t>TradeZella</t>
  </si>
  <si>
    <t>Zanibar (21\5)</t>
  </si>
  <si>
    <t>Zanzibar (28\5)</t>
  </si>
  <si>
    <t>Cash</t>
  </si>
  <si>
    <t>JUNHO</t>
  </si>
  <si>
    <t>temu</t>
  </si>
  <si>
    <t>Portugal</t>
  </si>
  <si>
    <t>Zanzibar (4\6)</t>
  </si>
  <si>
    <t>leggins oysho</t>
  </si>
  <si>
    <t>casamento Lavinia</t>
  </si>
  <si>
    <t>woodies</t>
  </si>
  <si>
    <t>seaside</t>
  </si>
  <si>
    <t>dublin - waterford</t>
  </si>
  <si>
    <t>Top step (23\5)</t>
  </si>
  <si>
    <t>Zanzibar (11\6)</t>
  </si>
  <si>
    <t>spyro (game)</t>
  </si>
  <si>
    <t>tv</t>
  </si>
  <si>
    <t xml:space="preserve">sofá </t>
  </si>
  <si>
    <t>Topstep</t>
  </si>
  <si>
    <t>Zanibar (18\6)</t>
  </si>
  <si>
    <t>mr price</t>
  </si>
  <si>
    <t xml:space="preserve">the range </t>
  </si>
  <si>
    <t>Zanzibar (25\6)</t>
  </si>
  <si>
    <t>tk Max</t>
  </si>
  <si>
    <t xml:space="preserve">tela para o jardim </t>
  </si>
  <si>
    <t>The range (cortinados + jardim)</t>
  </si>
  <si>
    <t>JULHO</t>
  </si>
  <si>
    <t>Tesco</t>
  </si>
  <si>
    <t xml:space="preserve">Jogo nitendo </t>
  </si>
  <si>
    <t>Manutrenção de conta</t>
  </si>
  <si>
    <t>Zanzibar (2\7)</t>
  </si>
  <si>
    <t>lidl</t>
  </si>
  <si>
    <t xml:space="preserve">Vitaminas </t>
  </si>
  <si>
    <t xml:space="preserve">Top step </t>
  </si>
  <si>
    <t>oleo cabelo</t>
  </si>
  <si>
    <t>Zanzibar (9\7)</t>
  </si>
  <si>
    <t xml:space="preserve">rimel </t>
  </si>
  <si>
    <t>Creme corpo EOS</t>
  </si>
  <si>
    <t>Zanibar (16\7)</t>
  </si>
  <si>
    <t>jysk (prateleira entrada)</t>
  </si>
  <si>
    <t>batedeira</t>
  </si>
  <si>
    <t>Zanzibar (23\7)</t>
  </si>
  <si>
    <t>Zanzibar (30\7)</t>
  </si>
  <si>
    <t>AGOSTO</t>
  </si>
  <si>
    <t>homesavers</t>
  </si>
  <si>
    <t>sushi</t>
  </si>
  <si>
    <t>Gym</t>
  </si>
  <si>
    <t xml:space="preserve">manutenção de conta </t>
  </si>
  <si>
    <t>Zanzibar (6\8)</t>
  </si>
  <si>
    <t>22 \ 8</t>
  </si>
  <si>
    <t xml:space="preserve">Subway </t>
  </si>
  <si>
    <t>Tabaco</t>
  </si>
  <si>
    <t>livro colinária</t>
  </si>
  <si>
    <t>Zanzibar (13\8)</t>
  </si>
  <si>
    <t>brinquedo Bali</t>
  </si>
  <si>
    <t xml:space="preserve">Nitendo game </t>
  </si>
  <si>
    <t>bali</t>
  </si>
  <si>
    <t xml:space="preserve">Nitendo subscrição </t>
  </si>
  <si>
    <t>Zanibar (20\8)</t>
  </si>
  <si>
    <t>lild</t>
  </si>
  <si>
    <t xml:space="preserve">Audiobook </t>
  </si>
  <si>
    <t>Roupa</t>
  </si>
  <si>
    <t>Zanzibar (27\8)</t>
  </si>
  <si>
    <t>Temu Journal stuff</t>
  </si>
  <si>
    <t>Audiobooks</t>
  </si>
  <si>
    <t>lidl \ tesco</t>
  </si>
  <si>
    <t xml:space="preserve">lidl </t>
  </si>
  <si>
    <t>SETEMBRO</t>
  </si>
  <si>
    <t>prateleira Sala</t>
  </si>
  <si>
    <t>manutenção de conta</t>
  </si>
  <si>
    <t>Zanzibar (3\9)</t>
  </si>
  <si>
    <t>19\9</t>
  </si>
  <si>
    <t xml:space="preserve">saída com bruna e rafa </t>
  </si>
  <si>
    <t xml:space="preserve">etsy capa para o hobonichi </t>
  </si>
  <si>
    <t>Bilhete PT</t>
  </si>
  <si>
    <t xml:space="preserve">Alcool no aeroporto </t>
  </si>
  <si>
    <t>Zanzibar (10\9)</t>
  </si>
  <si>
    <t xml:space="preserve">Temu office </t>
  </si>
  <si>
    <t>ryanair</t>
  </si>
  <si>
    <t>Jogo nitendo</t>
  </si>
  <si>
    <t xml:space="preserve">medicação </t>
  </si>
  <si>
    <t>Zanibar (17\9)</t>
  </si>
  <si>
    <t>jogo nitendo</t>
  </si>
  <si>
    <t>prenda Carlos e vizinhos</t>
  </si>
  <si>
    <t xml:space="preserve">Primark </t>
  </si>
  <si>
    <t>fotocápias</t>
  </si>
  <si>
    <t>Zanzibar (24\9)</t>
  </si>
  <si>
    <t>gym</t>
  </si>
  <si>
    <t>audiobooks</t>
  </si>
  <si>
    <t>meus pais deram-me (para comprar a máquina de depilação)</t>
  </si>
  <si>
    <t>CARTÃO</t>
  </si>
  <si>
    <t>OUTUBRO</t>
  </si>
  <si>
    <t>1 \ 10</t>
  </si>
  <si>
    <t>manta sala</t>
  </si>
  <si>
    <t xml:space="preserve">copos zanzibar </t>
  </si>
  <si>
    <t xml:space="preserve">Curso data analist </t>
  </si>
  <si>
    <t>Zanzibar (1\10)</t>
  </si>
  <si>
    <t>14\10</t>
  </si>
  <si>
    <t>vinho</t>
  </si>
  <si>
    <t>Aliexpress</t>
  </si>
  <si>
    <t>Tradezella</t>
  </si>
  <si>
    <t>19\09</t>
  </si>
  <si>
    <t xml:space="preserve">primark </t>
  </si>
  <si>
    <t xml:space="preserve">Zanzibar </t>
  </si>
  <si>
    <t>Zelda</t>
  </si>
  <si>
    <t>Bookcentre</t>
  </si>
  <si>
    <t xml:space="preserve">Zanibar </t>
  </si>
  <si>
    <t xml:space="preserve">Máquina depilação </t>
  </si>
  <si>
    <t>Zanzibar</t>
  </si>
  <si>
    <t xml:space="preserve">Bali </t>
  </si>
  <si>
    <t>NOVEMBRO</t>
  </si>
  <si>
    <t>the range</t>
  </si>
  <si>
    <t>Uber Eats</t>
  </si>
  <si>
    <t>5\11</t>
  </si>
  <si>
    <t>electricidade</t>
  </si>
  <si>
    <t>Uber eats</t>
  </si>
  <si>
    <t>Jogo nitendo (crash)</t>
  </si>
  <si>
    <t>mudança de carta de condução PT - IRL</t>
  </si>
  <si>
    <t xml:space="preserve">Uber eats </t>
  </si>
  <si>
    <t>Mr.price</t>
  </si>
  <si>
    <t>Prenda Natal Carlos</t>
  </si>
  <si>
    <t xml:space="preserve">Manutenção de conta </t>
  </si>
  <si>
    <t xml:space="preserve">Prendas Natal </t>
  </si>
  <si>
    <t>27\11</t>
  </si>
  <si>
    <t xml:space="preserve">Seguro carro </t>
  </si>
  <si>
    <t>22\11</t>
  </si>
  <si>
    <t>Tk Max</t>
  </si>
  <si>
    <t xml:space="preserve">Filofax e acessórios </t>
  </si>
  <si>
    <t>livros</t>
  </si>
  <si>
    <t>€ GOSTÁMOS ESTE MÊS NO CARRO</t>
  </si>
  <si>
    <t>carro</t>
  </si>
  <si>
    <t xml:space="preserve">seguro anual </t>
  </si>
  <si>
    <t>carro arranjos extras</t>
  </si>
  <si>
    <t>tax road</t>
  </si>
  <si>
    <t>TOREI DO FUNDO</t>
  </si>
  <si>
    <t>DEZEMBRO</t>
  </si>
  <si>
    <t xml:space="preserve">vedante janelas </t>
  </si>
  <si>
    <t xml:space="preserve">shiki </t>
  </si>
  <si>
    <t>cervejas</t>
  </si>
  <si>
    <t xml:space="preserve">rolo cabelo </t>
  </si>
  <si>
    <t>Tapete jysk</t>
  </si>
  <si>
    <t>Comer fora (minha parte)</t>
  </si>
  <si>
    <t>mala TK max</t>
  </si>
  <si>
    <t>Car Park</t>
  </si>
  <si>
    <t>28\11</t>
  </si>
  <si>
    <t>Geoffs</t>
  </si>
  <si>
    <t>Nitendo (SunHaven)</t>
  </si>
  <si>
    <t xml:space="preserve">SportsDirect </t>
  </si>
  <si>
    <t>Telas</t>
  </si>
  <si>
    <t>16\12</t>
  </si>
  <si>
    <t>Blusa Carlos</t>
  </si>
  <si>
    <t>27\12</t>
  </si>
  <si>
    <t>Cópias calendário</t>
  </si>
  <si>
    <t>Mandar prendas para Portugal</t>
  </si>
  <si>
    <t>Nitendo (lets build a zoo)</t>
  </si>
  <si>
    <t>Prendas Portugal</t>
  </si>
  <si>
    <t>Nitendo (GTA)</t>
  </si>
  <si>
    <t>Prenda anos dos meus pais</t>
  </si>
  <si>
    <t>JANEIRO</t>
  </si>
  <si>
    <t>FEVEREIRO</t>
  </si>
  <si>
    <t>MARÇO</t>
  </si>
  <si>
    <t>ABRIL</t>
  </si>
  <si>
    <t>MAIO</t>
  </si>
  <si>
    <t>ANUAL 2025</t>
  </si>
  <si>
    <t>Anual 2022</t>
  </si>
  <si>
    <t>Anual 2023</t>
  </si>
  <si>
    <t>Anual 2024</t>
  </si>
  <si>
    <t>Anual 2025</t>
  </si>
  <si>
    <t xml:space="preserve">Total </t>
  </si>
  <si>
    <t>% das despesas</t>
  </si>
  <si>
    <t>Média</t>
  </si>
  <si>
    <t>Total</t>
  </si>
  <si>
    <t>%</t>
  </si>
  <si>
    <t>WORK (TRADING)</t>
  </si>
  <si>
    <t>TOTAL DESPESAS</t>
  </si>
  <si>
    <t>ORDENADO BRUTO</t>
  </si>
  <si>
    <t>ORDENADO LIÌQUIDO</t>
  </si>
  <si>
    <t>TAX</t>
  </si>
  <si>
    <t xml:space="preserve">DIFERENÇA entre o que gastei vs recebi </t>
  </si>
  <si>
    <t>CAR BUY (november)</t>
  </si>
  <si>
    <t>REAL SAFE</t>
  </si>
  <si>
    <t xml:space="preserve">Valor que faço numa conta prop firm </t>
  </si>
  <si>
    <t>a qualquer momento posso perder esta conta, portanto assim que conseguir tirar o dinheiro, o meu objetivo é tirar o maior valor possivel para uma conta pessoal</t>
  </si>
  <si>
    <t>valor que tiro da conta prop firm e vai para uma conta pessoal</t>
  </si>
  <si>
    <t>aqui vai ser todo o valor que vou tirando da prop firm e que junto numa conta pessoal minha. no futuro isto se vai transofrmar numa conta profissional, onde quero fazer descontos.</t>
  </si>
  <si>
    <t>salário</t>
  </si>
  <si>
    <t>valor que junto uma conta pessoal</t>
  </si>
  <si>
    <t xml:space="preserve">este é apenas o meu ordenado basicamente. é um valor que eu estipulo e que tenho na minha conta pessoal como ordenado para os meus gastos mensais.. </t>
  </si>
  <si>
    <t>valor que junto para coisas pessoais \ objetivos que eu tenha. estes valores vão ser divididos, ainda não sei muito bem como os irei fazer, mas são coisas como fundo de emergência, comprar casa (ou entrada para uma casa), comprar uma auto-caravana, dinheiro que gostava de dar aos meus sobrinhos quando fizessem 18 anos, dinheiro que poderei investir para o futuro (que não irei mexer nele)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</si>
</sst>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quot;€&quot;"/>
    <numFmt numFmtId="165" formatCode="_ * #,##0.00_)\ &quot;€&quot;_ ;_ * \(#,##0.00\)\ &quot;€&quot;_ ;_ * &quot;-&quot;??_)\ &quot;€&quot;_ ;_ @_ "/>
    <numFmt numFmtId="166" formatCode="&quot;$&quot;#,##0.00"/>
    <numFmt numFmtId="167" formatCode="[$€-83C]#,##0.00"/>
    <numFmt numFmtId="168" formatCode="_([$€-2]\ * #,##0.00_);_([$€-2]\ * \(#,##0.00\);_([$€-2]\ * &quot;-&quot;??_);_(@_)"/>
  </numFmts>
  <fonts count="12">
    <font>
      <sz val="11"/>
      <color theme="1"/>
      <name val="Aptos Narrow"/>
      <family val="2"/>
      <scheme val="minor"/>
    </font>
    <font>
      <sz val="12"/>
      <color rgb="FF000000"/>
      <name val="Aptos Narrow"/>
      <family val="2"/>
      <scheme val="minor"/>
    </font>
    <font>
      <b/>
      <sz val="16"/>
      <color rgb="FF000000"/>
      <name val="Aptos Narrow"/>
      <family val="2"/>
      <scheme val="minor"/>
    </font>
    <font>
      <sz val="16"/>
      <color rgb="FF000000"/>
      <name val="Aptos Narrow"/>
      <family val="2"/>
      <scheme val="minor"/>
    </font>
    <font>
      <b/>
      <sz val="12"/>
      <color rgb="FF000000"/>
      <name val="Aptos Narrow"/>
      <family val="2"/>
      <scheme val="minor"/>
    </font>
    <font>
      <b/>
      <sz val="14"/>
      <color rgb="FF000000"/>
      <name val="Aptos Narrow"/>
      <family val="2"/>
      <scheme val="minor"/>
    </font>
    <font>
      <sz val="11"/>
      <color rgb="FF000000"/>
      <name val="Calibri"/>
      <family val="2"/>
    </font>
    <font>
      <b/>
      <sz val="11"/>
      <color rgb="FF000000"/>
      <name val="Calibri"/>
      <family val="2"/>
    </font>
    <font>
      <b/>
      <sz val="10"/>
      <color rgb="FF000000"/>
      <name val="Calibri"/>
      <family val="2"/>
    </font>
    <font>
      <b/>
      <sz val="11"/>
      <color theme="1"/>
      <name val="Aptos Narrow"/>
      <family val="2"/>
      <scheme val="minor"/>
    </font>
    <font>
      <sz val="8"/>
      <color theme="1"/>
      <name val="Aptos Narrow"/>
      <family val="2"/>
      <scheme val="minor"/>
    </font>
    <font>
      <sz val="14"/>
      <color rgb="FF000000"/>
      <name val="Helvetica"/>
      <charset val="1"/>
    </font>
  </fonts>
  <fills count="18">
    <fill>
      <patternFill patternType="none"/>
    </fill>
    <fill>
      <patternFill patternType="gray125"/>
    </fill>
    <fill>
      <patternFill patternType="solid">
        <fgColor rgb="FFFCE4D6"/>
        <bgColor rgb="FF000000"/>
      </patternFill>
    </fill>
    <fill>
      <patternFill patternType="solid">
        <fgColor rgb="FFE2EFDA"/>
        <bgColor rgb="FF000000"/>
      </patternFill>
    </fill>
    <fill>
      <patternFill patternType="solid">
        <fgColor theme="9" tint="0.79998168889431442"/>
        <bgColor indexed="64"/>
      </patternFill>
    </fill>
    <fill>
      <patternFill patternType="solid">
        <fgColor rgb="FFF4B084"/>
        <bgColor rgb="FF000000"/>
      </patternFill>
    </fill>
    <fill>
      <patternFill patternType="solid">
        <fgColor theme="5" tint="0.39997558519241921"/>
        <bgColor rgb="FF000000"/>
      </patternFill>
    </fill>
    <fill>
      <patternFill patternType="solid">
        <fgColor rgb="FFB4C6E7"/>
        <bgColor rgb="FF000000"/>
      </patternFill>
    </fill>
    <fill>
      <patternFill patternType="solid">
        <fgColor rgb="FFD8E2F4"/>
        <bgColor rgb="FF000000"/>
      </patternFill>
    </fill>
    <fill>
      <patternFill patternType="solid">
        <fgColor rgb="FFFF0000"/>
        <bgColor rgb="FF000000"/>
      </patternFill>
    </fill>
    <fill>
      <patternFill patternType="solid">
        <fgColor theme="9"/>
        <bgColor rgb="FF000000"/>
      </patternFill>
    </fill>
    <fill>
      <patternFill patternType="solid">
        <fgColor theme="9" tint="0.79998168889431442"/>
        <bgColor rgb="FF000000"/>
      </patternFill>
    </fill>
    <fill>
      <patternFill patternType="solid">
        <fgColor theme="5" tint="0.39997558519241921"/>
        <bgColor indexed="64"/>
      </patternFill>
    </fill>
    <fill>
      <patternFill patternType="solid">
        <fgColor rgb="FFFFC000"/>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4.9989318521683403E-2"/>
        <bgColor indexed="64"/>
      </patternFill>
    </fill>
  </fills>
  <borders count="10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auto="1"/>
      </right>
      <top/>
      <bottom style="thin">
        <color auto="1"/>
      </bottom>
      <diagonal/>
    </border>
    <border>
      <left/>
      <right style="medium">
        <color indexed="64"/>
      </right>
      <top/>
      <bottom style="thin">
        <color indexed="64"/>
      </bottom>
      <diagonal/>
    </border>
    <border>
      <left style="thick">
        <color indexed="64"/>
      </left>
      <right/>
      <top style="medium">
        <color indexed="64"/>
      </top>
      <bottom/>
      <diagonal/>
    </border>
    <border>
      <left/>
      <right style="thick">
        <color rgb="FF000000"/>
      </right>
      <top style="medium">
        <color indexed="64"/>
      </top>
      <bottom/>
      <diagonal/>
    </border>
    <border>
      <left style="thick">
        <color rgb="FF000000"/>
      </left>
      <right/>
      <top style="medium">
        <color indexed="64"/>
      </top>
      <bottom/>
      <diagonal/>
    </border>
    <border>
      <left/>
      <right style="thin">
        <color rgb="FF000000"/>
      </right>
      <top style="medium">
        <color indexed="64"/>
      </top>
      <bottom/>
      <diagonal/>
    </border>
    <border>
      <left style="thin">
        <color rgb="FF000000"/>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bottom/>
      <diagonal/>
    </border>
    <border>
      <left style="thin">
        <color indexed="64"/>
      </left>
      <right/>
      <top/>
      <bottom/>
      <diagonal/>
    </border>
    <border>
      <left style="medium">
        <color indexed="64"/>
      </left>
      <right style="thin">
        <color auto="1"/>
      </right>
      <top/>
      <bottom style="medium">
        <color indexed="64"/>
      </bottom>
      <diagonal/>
    </border>
    <border>
      <left/>
      <right style="medium">
        <color indexed="64"/>
      </right>
      <top/>
      <bottom style="medium">
        <color indexed="64"/>
      </bottom>
      <diagonal/>
    </border>
    <border>
      <left/>
      <right style="thick">
        <color indexed="64"/>
      </right>
      <top/>
      <bottom/>
      <diagonal/>
    </border>
    <border>
      <left style="medium">
        <color indexed="64"/>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bottom style="thin">
        <color rgb="FF000000"/>
      </bottom>
      <diagonal/>
    </border>
    <border>
      <left/>
      <right style="medium">
        <color indexed="64"/>
      </right>
      <top/>
      <bottom style="thin">
        <color rgb="FF000000"/>
      </bottom>
      <diagonal/>
    </border>
    <border>
      <left style="medium">
        <color indexed="64"/>
      </left>
      <right style="thin">
        <color rgb="FF000000"/>
      </right>
      <top/>
      <bottom style="medium">
        <color indexed="64"/>
      </bottom>
      <diagonal/>
    </border>
    <border>
      <left style="thick">
        <color auto="1"/>
      </left>
      <right/>
      <top/>
      <bottom style="thin">
        <color indexed="64"/>
      </bottom>
      <diagonal/>
    </border>
    <border>
      <left/>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style="thin">
        <color auto="1"/>
      </right>
      <top/>
      <bottom style="thin">
        <color auto="1"/>
      </bottom>
      <diagonal/>
    </border>
    <border>
      <left style="thin">
        <color indexed="64"/>
      </left>
      <right/>
      <top/>
      <bottom style="thin">
        <color indexed="64"/>
      </bottom>
      <diagonal/>
    </border>
    <border>
      <left/>
      <right style="thick">
        <color indexed="64"/>
      </right>
      <top/>
      <bottom style="thin">
        <color auto="1"/>
      </bottom>
      <diagonal/>
    </border>
    <border>
      <left style="thick">
        <color indexed="64"/>
      </left>
      <right/>
      <top/>
      <bottom style="thick">
        <color indexed="64"/>
      </bottom>
      <diagonal/>
    </border>
    <border>
      <left/>
      <right/>
      <top/>
      <bottom style="thick">
        <color indexed="64"/>
      </bottom>
      <diagonal/>
    </border>
    <border>
      <left style="thick">
        <color indexed="64"/>
      </left>
      <right/>
      <top style="thin">
        <color auto="1"/>
      </top>
      <bottom style="medium">
        <color indexed="64"/>
      </bottom>
      <diagonal/>
    </border>
    <border>
      <left/>
      <right/>
      <top style="thin">
        <color auto="1"/>
      </top>
      <bottom style="medium">
        <color indexed="64"/>
      </bottom>
      <diagonal/>
    </border>
    <border>
      <left/>
      <right style="thick">
        <color indexed="64"/>
      </right>
      <top style="thin">
        <color auto="1"/>
      </top>
      <bottom style="medium">
        <color indexed="64"/>
      </bottom>
      <diagonal/>
    </border>
    <border>
      <left/>
      <right style="medium">
        <color indexed="64"/>
      </right>
      <top style="thin">
        <color auto="1"/>
      </top>
      <bottom style="medium">
        <color indexed="64"/>
      </bottom>
      <diagonal/>
    </border>
    <border>
      <left style="thick">
        <color indexed="64"/>
      </left>
      <right/>
      <top style="medium">
        <color indexed="64"/>
      </top>
      <bottom style="medium">
        <color indexed="64"/>
      </bottom>
      <diagonal/>
    </border>
    <border>
      <left style="medium">
        <color indexed="64"/>
      </left>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auto="1"/>
      </right>
      <top style="thin">
        <color auto="1"/>
      </top>
      <bottom style="thin">
        <color auto="1"/>
      </bottom>
      <diagonal/>
    </border>
    <border>
      <left style="medium">
        <color rgb="FF000000"/>
      </left>
      <right/>
      <top/>
      <bottom style="thin">
        <color indexed="64"/>
      </bottom>
      <diagonal/>
    </border>
    <border>
      <left style="medium">
        <color rgb="FF000000"/>
      </left>
      <right/>
      <top style="thin">
        <color auto="1"/>
      </top>
      <bottom style="thin">
        <color auto="1"/>
      </bottom>
      <diagonal/>
    </border>
    <border>
      <left style="thin">
        <color auto="1"/>
      </left>
      <right style="medium">
        <color rgb="FF000000"/>
      </right>
      <top style="thin">
        <color auto="1"/>
      </top>
      <bottom style="thin">
        <color auto="1"/>
      </bottom>
      <diagonal/>
    </border>
    <border>
      <left/>
      <right style="medium">
        <color rgb="FF000000"/>
      </right>
      <top/>
      <bottom style="thin">
        <color auto="1"/>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auto="1"/>
      </left>
      <right style="medium">
        <color rgb="FF000000"/>
      </right>
      <top/>
      <bottom style="thin">
        <color auto="1"/>
      </bottom>
      <diagonal/>
    </border>
    <border>
      <left/>
      <right/>
      <top style="medium">
        <color rgb="FF000000"/>
      </top>
      <bottom/>
      <diagonal/>
    </border>
    <border>
      <left style="thin">
        <color rgb="FF000000"/>
      </left>
      <right/>
      <top/>
      <bottom style="thin">
        <color rgb="FF000000"/>
      </bottom>
      <diagonal/>
    </border>
    <border>
      <left style="medium">
        <color indexed="64"/>
      </left>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medium">
        <color rgb="FF000000"/>
      </left>
      <right/>
      <top style="thin">
        <color auto="1"/>
      </top>
      <bottom/>
      <diagonal/>
    </border>
    <border>
      <left/>
      <right/>
      <top style="thin">
        <color indexed="64"/>
      </top>
      <bottom/>
      <diagonal/>
    </border>
    <border>
      <left/>
      <right style="medium">
        <color rgb="FF000000"/>
      </right>
      <top style="thin">
        <color auto="1"/>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bottom style="medium">
        <color rgb="FF000000"/>
      </bottom>
      <diagonal/>
    </border>
    <border>
      <left/>
      <right style="medium">
        <color rgb="FF000000"/>
      </right>
      <top style="medium">
        <color indexed="64"/>
      </top>
      <bottom style="medium">
        <color indexed="64"/>
      </bottom>
      <diagonal/>
    </border>
    <border>
      <left/>
      <right style="medium">
        <color rgb="FF000000"/>
      </right>
      <top style="medium">
        <color indexed="64"/>
      </top>
      <bottom/>
      <diagonal/>
    </border>
    <border>
      <left/>
      <right style="medium">
        <color rgb="FF000000"/>
      </right>
      <top style="thin">
        <color auto="1"/>
      </top>
      <bottom style="medium">
        <color indexed="64"/>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medium">
        <color rgb="FF000000"/>
      </right>
      <top style="thin">
        <color rgb="FF000000"/>
      </top>
      <bottom style="medium">
        <color rgb="FF000000"/>
      </bottom>
      <diagonal/>
    </border>
    <border>
      <left/>
      <right style="medium">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medium">
        <color rgb="FF000000"/>
      </left>
      <right/>
      <top style="thin">
        <color rgb="FF000000"/>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3">
    <xf numFmtId="0" fontId="0" fillId="0" borderId="0"/>
    <xf numFmtId="0" fontId="6" fillId="0" borderId="0"/>
    <xf numFmtId="9" fontId="6" fillId="0" borderId="0" applyFont="0" applyFill="0" applyBorder="0" applyAlignment="0" applyProtection="0"/>
  </cellStyleXfs>
  <cellXfs count="323">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4" xfId="0" applyFont="1" applyBorder="1"/>
    <xf numFmtId="0" fontId="3" fillId="0" borderId="7" xfId="0" applyFont="1" applyBorder="1" applyAlignment="1">
      <alignment horizontal="center"/>
    </xf>
    <xf numFmtId="0" fontId="3" fillId="0" borderId="0" xfId="0" applyFont="1" applyAlignment="1">
      <alignment horizontal="center"/>
    </xf>
    <xf numFmtId="17" fontId="4" fillId="0" borderId="0" xfId="0" applyNumberFormat="1" applyFont="1" applyAlignment="1">
      <alignment horizontal="center"/>
    </xf>
    <xf numFmtId="0" fontId="4" fillId="5" borderId="11" xfId="0" applyFont="1" applyFill="1" applyBorder="1"/>
    <xf numFmtId="164" fontId="1" fillId="5" borderId="12" xfId="0" applyNumberFormat="1" applyFont="1" applyFill="1" applyBorder="1"/>
    <xf numFmtId="0" fontId="4" fillId="0" borderId="7" xfId="0" applyFont="1" applyBorder="1" applyAlignment="1">
      <alignment horizontal="center"/>
    </xf>
    <xf numFmtId="0" fontId="4" fillId="0" borderId="0" xfId="0" applyFont="1" applyAlignment="1">
      <alignment horizontal="center"/>
    </xf>
    <xf numFmtId="0" fontId="4" fillId="6" borderId="4" xfId="0" applyFont="1" applyFill="1" applyBorder="1"/>
    <xf numFmtId="0" fontId="1" fillId="6" borderId="7" xfId="0" applyFont="1" applyFill="1" applyBorder="1"/>
    <xf numFmtId="0" fontId="4" fillId="7" borderId="11" xfId="0" applyFont="1" applyFill="1" applyBorder="1"/>
    <xf numFmtId="164" fontId="1" fillId="7" borderId="12" xfId="0" applyNumberFormat="1" applyFont="1" applyFill="1" applyBorder="1"/>
    <xf numFmtId="164" fontId="1" fillId="0" borderId="7" xfId="0" applyNumberFormat="1" applyFont="1" applyBorder="1"/>
    <xf numFmtId="164" fontId="1" fillId="0" borderId="0" xfId="0" applyNumberFormat="1" applyFont="1"/>
    <xf numFmtId="164" fontId="4" fillId="0" borderId="21" xfId="0" applyNumberFormat="1" applyFont="1" applyBorder="1"/>
    <xf numFmtId="164" fontId="4" fillId="0" borderId="0" xfId="0" applyNumberFormat="1" applyFont="1" applyAlignment="1">
      <alignment horizontal="center" vertical="center"/>
    </xf>
    <xf numFmtId="164" fontId="4" fillId="0" borderId="21" xfId="0" applyNumberFormat="1" applyFont="1" applyBorder="1" applyAlignment="1">
      <alignment horizontal="center" vertical="center"/>
    </xf>
    <xf numFmtId="164" fontId="4" fillId="0" borderId="0" xfId="0" applyNumberFormat="1" applyFont="1" applyAlignment="1">
      <alignment horizontal="center"/>
    </xf>
    <xf numFmtId="164" fontId="4" fillId="0" borderId="22" xfId="0" applyNumberFormat="1" applyFont="1" applyBorder="1" applyAlignment="1">
      <alignment horizontal="center"/>
    </xf>
    <xf numFmtId="164" fontId="4" fillId="0" borderId="23" xfId="0" applyNumberFormat="1" applyFont="1" applyBorder="1" applyAlignment="1">
      <alignment horizontal="center"/>
    </xf>
    <xf numFmtId="164" fontId="4" fillId="0" borderId="21" xfId="0" applyNumberFormat="1" applyFont="1" applyBorder="1" applyAlignment="1">
      <alignment horizontal="center"/>
    </xf>
    <xf numFmtId="164" fontId="4" fillId="0" borderId="4" xfId="0" applyNumberFormat="1" applyFont="1" applyBorder="1" applyAlignment="1">
      <alignment horizontal="center"/>
    </xf>
    <xf numFmtId="164" fontId="4" fillId="0" borderId="7" xfId="0" applyNumberFormat="1" applyFont="1" applyBorder="1" applyAlignment="1">
      <alignment horizontal="center"/>
    </xf>
    <xf numFmtId="0" fontId="4" fillId="8" borderId="11" xfId="0" applyFont="1" applyFill="1" applyBorder="1"/>
    <xf numFmtId="164" fontId="1" fillId="8" borderId="12" xfId="0" applyNumberFormat="1" applyFont="1" applyFill="1" applyBorder="1"/>
    <xf numFmtId="164" fontId="1" fillId="0" borderId="21" xfId="0" applyNumberFormat="1" applyFont="1" applyBorder="1"/>
    <xf numFmtId="164" fontId="1" fillId="0" borderId="0" xfId="0" applyNumberFormat="1" applyFont="1" applyAlignment="1">
      <alignment horizontal="right"/>
    </xf>
    <xf numFmtId="164" fontId="1" fillId="0" borderId="21" xfId="0" applyNumberFormat="1" applyFont="1" applyBorder="1" applyAlignment="1">
      <alignment horizontal="right"/>
    </xf>
    <xf numFmtId="164" fontId="1" fillId="0" borderId="22" xfId="0" applyNumberFormat="1" applyFont="1" applyBorder="1"/>
    <xf numFmtId="164" fontId="1" fillId="0" borderId="23" xfId="0" applyNumberFormat="1" applyFont="1" applyBorder="1"/>
    <xf numFmtId="0" fontId="1" fillId="0" borderId="23" xfId="0" applyFont="1" applyBorder="1"/>
    <xf numFmtId="164" fontId="1" fillId="0" borderId="4" xfId="0" applyNumberFormat="1" applyFont="1" applyBorder="1"/>
    <xf numFmtId="0" fontId="4" fillId="9" borderId="24" xfId="0" applyFont="1" applyFill="1" applyBorder="1"/>
    <xf numFmtId="164" fontId="1" fillId="9" borderId="25" xfId="0" applyNumberFormat="1" applyFont="1" applyFill="1" applyBorder="1"/>
    <xf numFmtId="165" fontId="1" fillId="0" borderId="0" xfId="0" applyNumberFormat="1" applyFont="1"/>
    <xf numFmtId="0" fontId="1" fillId="0" borderId="21" xfId="0" applyFont="1" applyBorder="1"/>
    <xf numFmtId="164" fontId="1" fillId="0" borderId="26" xfId="0" applyNumberFormat="1" applyFont="1" applyBorder="1"/>
    <xf numFmtId="0" fontId="1" fillId="0" borderId="29" xfId="0" applyFont="1" applyBorder="1"/>
    <xf numFmtId="164" fontId="1" fillId="0" borderId="30" xfId="0" applyNumberFormat="1" applyFont="1" applyBorder="1"/>
    <xf numFmtId="165" fontId="1" fillId="0" borderId="7" xfId="0" applyNumberFormat="1" applyFont="1" applyBorder="1"/>
    <xf numFmtId="165" fontId="1" fillId="0" borderId="21" xfId="0" applyNumberFormat="1" applyFont="1" applyBorder="1"/>
    <xf numFmtId="165" fontId="1" fillId="0" borderId="0" xfId="0" applyNumberFormat="1" applyFont="1" applyAlignment="1">
      <alignment horizontal="right"/>
    </xf>
    <xf numFmtId="165" fontId="1" fillId="0" borderId="21" xfId="0" applyNumberFormat="1" applyFont="1" applyBorder="1" applyAlignment="1">
      <alignment horizontal="right"/>
    </xf>
    <xf numFmtId="0" fontId="1" fillId="10" borderId="31" xfId="0" applyFont="1" applyFill="1" applyBorder="1"/>
    <xf numFmtId="164" fontId="1" fillId="10" borderId="25" xfId="0" applyNumberFormat="1" applyFont="1" applyFill="1" applyBorder="1"/>
    <xf numFmtId="165" fontId="1" fillId="0" borderId="7" xfId="0" applyNumberFormat="1" applyFont="1" applyBorder="1" applyAlignment="1">
      <alignment horizontal="center"/>
    </xf>
    <xf numFmtId="0" fontId="1" fillId="0" borderId="0" xfId="0" applyFont="1" applyAlignment="1">
      <alignment horizontal="left"/>
    </xf>
    <xf numFmtId="0" fontId="4" fillId="0" borderId="0" xfId="0" applyFont="1" applyAlignment="1">
      <alignment horizontal="right"/>
    </xf>
    <xf numFmtId="0" fontId="4" fillId="0" borderId="21" xfId="0" applyFont="1" applyBorder="1" applyAlignment="1">
      <alignment horizontal="right"/>
    </xf>
    <xf numFmtId="0" fontId="4" fillId="0" borderId="21" xfId="0" applyFont="1" applyBorder="1" applyAlignment="1">
      <alignment horizontal="center"/>
    </xf>
    <xf numFmtId="165" fontId="1" fillId="0" borderId="4" xfId="0" applyNumberFormat="1" applyFont="1" applyBorder="1" applyAlignment="1">
      <alignment horizontal="right"/>
    </xf>
    <xf numFmtId="165" fontId="1" fillId="0" borderId="7" xfId="0" applyNumberFormat="1" applyFont="1" applyBorder="1" applyAlignment="1">
      <alignment horizontal="right"/>
    </xf>
    <xf numFmtId="0" fontId="1" fillId="0" borderId="0" xfId="0" applyFont="1" applyAlignment="1">
      <alignment horizontal="right"/>
    </xf>
    <xf numFmtId="0" fontId="1" fillId="0" borderId="21" xfId="0" applyFont="1" applyBorder="1" applyAlignment="1">
      <alignment horizontal="right"/>
    </xf>
    <xf numFmtId="0" fontId="1" fillId="4" borderId="0" xfId="0" applyFont="1" applyFill="1"/>
    <xf numFmtId="164" fontId="1" fillId="4" borderId="0" xfId="0" applyNumberFormat="1" applyFont="1" applyFill="1" applyAlignment="1">
      <alignment horizontal="right"/>
    </xf>
    <xf numFmtId="164" fontId="1" fillId="11" borderId="26" xfId="0" applyNumberFormat="1" applyFont="1" applyFill="1" applyBorder="1" applyAlignment="1">
      <alignment horizontal="right"/>
    </xf>
    <xf numFmtId="164" fontId="1" fillId="9" borderId="40" xfId="0" applyNumberFormat="1" applyFont="1" applyFill="1" applyBorder="1" applyAlignment="1">
      <alignment horizontal="right"/>
    </xf>
    <xf numFmtId="164" fontId="0" fillId="0" borderId="0" xfId="0" applyNumberFormat="1"/>
    <xf numFmtId="9" fontId="0" fillId="0" borderId="0" xfId="0" applyNumberFormat="1"/>
    <xf numFmtId="0" fontId="1" fillId="13" borderId="0" xfId="0" applyFont="1" applyFill="1"/>
    <xf numFmtId="164" fontId="1" fillId="13" borderId="0" xfId="0" applyNumberFormat="1" applyFont="1" applyFill="1" applyAlignment="1">
      <alignment horizontal="right"/>
    </xf>
    <xf numFmtId="0" fontId="4" fillId="14" borderId="4" xfId="0" applyFont="1" applyFill="1" applyBorder="1"/>
    <xf numFmtId="0" fontId="1" fillId="14" borderId="7" xfId="0" applyFont="1" applyFill="1" applyBorder="1"/>
    <xf numFmtId="0" fontId="4" fillId="13" borderId="8" xfId="0" applyFont="1" applyFill="1" applyBorder="1"/>
    <xf numFmtId="0" fontId="1" fillId="13" borderId="10" xfId="0" applyFont="1" applyFill="1" applyBorder="1"/>
    <xf numFmtId="0" fontId="1" fillId="0" borderId="0" xfId="0" applyFont="1" applyFill="1" applyBorder="1" applyAlignment="1"/>
    <xf numFmtId="0" fontId="0" fillId="0" borderId="0" xfId="0" applyBorder="1"/>
    <xf numFmtId="10" fontId="8" fillId="4" borderId="0" xfId="1" applyNumberFormat="1" applyFont="1" applyFill="1" applyBorder="1" applyAlignment="1">
      <alignment horizontal="center" vertical="center" wrapText="1"/>
    </xf>
    <xf numFmtId="0" fontId="7" fillId="12" borderId="51" xfId="1" applyFont="1" applyFill="1" applyBorder="1" applyAlignment="1">
      <alignment wrapText="1"/>
    </xf>
    <xf numFmtId="0" fontId="7" fillId="4" borderId="54" xfId="1" applyFont="1" applyFill="1" applyBorder="1" applyAlignment="1">
      <alignment vertical="center" wrapText="1"/>
    </xf>
    <xf numFmtId="164" fontId="8" fillId="4" borderId="54" xfId="1" applyNumberFormat="1" applyFont="1" applyFill="1" applyBorder="1" applyAlignment="1">
      <alignment horizontal="center" vertical="center" wrapText="1"/>
    </xf>
    <xf numFmtId="164" fontId="6" fillId="12" borderId="50" xfId="2" applyNumberFormat="1" applyFont="1" applyFill="1" applyBorder="1" applyAlignment="1">
      <alignment horizontal="right" wrapText="1"/>
    </xf>
    <xf numFmtId="10" fontId="8" fillId="4" borderId="55" xfId="1" applyNumberFormat="1" applyFont="1" applyFill="1" applyBorder="1" applyAlignment="1">
      <alignment horizontal="center" vertical="center" wrapText="1"/>
    </xf>
    <xf numFmtId="10" fontId="6" fillId="12" borderId="58" xfId="2" applyNumberFormat="1" applyFont="1" applyFill="1" applyBorder="1" applyAlignment="1">
      <alignment horizontal="right" wrapText="1"/>
    </xf>
    <xf numFmtId="164" fontId="8" fillId="4" borderId="0" xfId="1" applyNumberFormat="1" applyFont="1" applyFill="1" applyBorder="1" applyAlignment="1">
      <alignment horizontal="center" vertical="center" wrapText="1"/>
    </xf>
    <xf numFmtId="164" fontId="6" fillId="12" borderId="33" xfId="2" applyNumberFormat="1" applyFont="1" applyFill="1" applyBorder="1" applyAlignment="1">
      <alignment horizontal="right" wrapText="1"/>
    </xf>
    <xf numFmtId="164" fontId="6" fillId="12" borderId="36" xfId="1" applyNumberFormat="1" applyFill="1" applyBorder="1"/>
    <xf numFmtId="10" fontId="6" fillId="12" borderId="37" xfId="2" applyNumberFormat="1" applyFont="1" applyFill="1" applyBorder="1" applyAlignment="1">
      <alignment horizontal="right" wrapText="1"/>
    </xf>
    <xf numFmtId="0" fontId="7" fillId="13" borderId="51" xfId="1" applyFont="1" applyFill="1" applyBorder="1" applyAlignment="1">
      <alignment wrapText="1"/>
    </xf>
    <xf numFmtId="164" fontId="6" fillId="13" borderId="49" xfId="2" applyNumberFormat="1" applyFont="1" applyFill="1" applyBorder="1" applyAlignment="1">
      <alignment horizontal="right" wrapText="1"/>
    </xf>
    <xf numFmtId="10" fontId="6" fillId="13" borderId="47" xfId="2" applyNumberFormat="1" applyFont="1" applyFill="1" applyBorder="1" applyAlignment="1">
      <alignment horizontal="right" wrapText="1"/>
    </xf>
    <xf numFmtId="10" fontId="6" fillId="13" borderId="52" xfId="2" applyNumberFormat="1" applyFont="1" applyFill="1" applyBorder="1" applyAlignment="1">
      <alignment horizontal="right" wrapText="1"/>
    </xf>
    <xf numFmtId="164" fontId="6" fillId="13" borderId="48" xfId="2" applyNumberFormat="1" applyFont="1" applyFill="1" applyBorder="1" applyAlignment="1">
      <alignment horizontal="right" wrapText="1"/>
    </xf>
    <xf numFmtId="164" fontId="6" fillId="13" borderId="48" xfId="1" applyNumberFormat="1" applyFill="1" applyBorder="1"/>
    <xf numFmtId="0" fontId="7" fillId="14" borderId="51" xfId="1" applyFont="1" applyFill="1" applyBorder="1" applyAlignment="1">
      <alignment wrapText="1"/>
    </xf>
    <xf numFmtId="164" fontId="6" fillId="14" borderId="50" xfId="2" applyNumberFormat="1" applyFont="1" applyFill="1" applyBorder="1" applyAlignment="1">
      <alignment horizontal="right" wrapText="1"/>
    </xf>
    <xf numFmtId="10" fontId="6" fillId="14" borderId="37" xfId="2" applyNumberFormat="1" applyFont="1" applyFill="1" applyBorder="1" applyAlignment="1">
      <alignment horizontal="right" wrapText="1"/>
    </xf>
    <xf numFmtId="10" fontId="6" fillId="14" borderId="58" xfId="2" applyNumberFormat="1" applyFont="1" applyFill="1" applyBorder="1" applyAlignment="1">
      <alignment horizontal="right" wrapText="1"/>
    </xf>
    <xf numFmtId="164" fontId="6" fillId="14" borderId="33" xfId="2" applyNumberFormat="1" applyFont="1" applyFill="1" applyBorder="1" applyAlignment="1">
      <alignment horizontal="right" wrapText="1"/>
    </xf>
    <xf numFmtId="164" fontId="6" fillId="14" borderId="36" xfId="1" applyNumberFormat="1" applyFill="1" applyBorder="1"/>
    <xf numFmtId="164" fontId="6" fillId="14" borderId="37" xfId="2" applyNumberFormat="1" applyFont="1" applyFill="1" applyBorder="1" applyAlignment="1">
      <alignment horizontal="right" wrapText="1"/>
    </xf>
    <xf numFmtId="0" fontId="0" fillId="0" borderId="0" xfId="0" applyBorder="1" applyAlignment="1"/>
    <xf numFmtId="0" fontId="1" fillId="0" borderId="0" xfId="0" applyFont="1" applyBorder="1"/>
    <xf numFmtId="165" fontId="1" fillId="0" borderId="0" xfId="0" applyNumberFormat="1" applyFont="1" applyBorder="1"/>
    <xf numFmtId="164" fontId="1" fillId="0" borderId="0" xfId="0" applyNumberFormat="1" applyFont="1" applyBorder="1"/>
    <xf numFmtId="0" fontId="4" fillId="0" borderId="0" xfId="0" applyFont="1" applyBorder="1" applyAlignment="1">
      <alignment horizontal="center"/>
    </xf>
    <xf numFmtId="0" fontId="1" fillId="0" borderId="61" xfId="0" applyFont="1" applyBorder="1"/>
    <xf numFmtId="0" fontId="0" fillId="0" borderId="62" xfId="0" applyBorder="1"/>
    <xf numFmtId="165" fontId="1" fillId="0" borderId="30" xfId="0" applyNumberFormat="1" applyFont="1" applyBorder="1"/>
    <xf numFmtId="164" fontId="1" fillId="0" borderId="0" xfId="0" applyNumberFormat="1" applyFont="1" applyFill="1" applyBorder="1" applyAlignment="1"/>
    <xf numFmtId="0" fontId="1" fillId="16" borderId="23" xfId="0" applyFont="1" applyFill="1" applyBorder="1"/>
    <xf numFmtId="164" fontId="1" fillId="16" borderId="0" xfId="0" applyNumberFormat="1" applyFont="1" applyFill="1"/>
    <xf numFmtId="0" fontId="9" fillId="0" borderId="0" xfId="0" applyFont="1" applyBorder="1" applyAlignment="1"/>
    <xf numFmtId="0" fontId="1" fillId="16" borderId="0" xfId="0" applyFont="1" applyFill="1"/>
    <xf numFmtId="0" fontId="4" fillId="0" borderId="0" xfId="0" applyFont="1" applyFill="1" applyBorder="1" applyAlignment="1"/>
    <xf numFmtId="0" fontId="9" fillId="0" borderId="0" xfId="0" applyFont="1"/>
    <xf numFmtId="164" fontId="1" fillId="0" borderId="23" xfId="0" applyNumberFormat="1" applyFont="1" applyFill="1" applyBorder="1"/>
    <xf numFmtId="164" fontId="1" fillId="0" borderId="26" xfId="0" applyNumberFormat="1" applyFont="1" applyFill="1" applyBorder="1"/>
    <xf numFmtId="0" fontId="0" fillId="0" borderId="0" xfId="0" applyAlignment="1">
      <alignment wrapText="1"/>
    </xf>
    <xf numFmtId="0" fontId="10" fillId="0" borderId="0" xfId="0" applyFont="1" applyAlignment="1">
      <alignment vertical="center" wrapText="1"/>
    </xf>
    <xf numFmtId="0" fontId="11" fillId="0" borderId="0" xfId="0" applyFont="1"/>
    <xf numFmtId="0" fontId="1" fillId="17" borderId="23" xfId="0" applyFont="1" applyFill="1" applyBorder="1"/>
    <xf numFmtId="164" fontId="1" fillId="17" borderId="0" xfId="0" applyNumberFormat="1" applyFont="1" applyFill="1"/>
    <xf numFmtId="0" fontId="1" fillId="0" borderId="23" xfId="0" applyFont="1" applyFill="1" applyBorder="1"/>
    <xf numFmtId="164" fontId="1" fillId="0" borderId="0" xfId="0" applyNumberFormat="1" applyFont="1" applyFill="1"/>
    <xf numFmtId="164" fontId="1" fillId="16" borderId="22" xfId="0" applyNumberFormat="1" applyFont="1" applyFill="1" applyBorder="1"/>
    <xf numFmtId="166" fontId="1" fillId="0" borderId="0" xfId="0" applyNumberFormat="1" applyFont="1" applyAlignment="1">
      <alignment horizontal="right"/>
    </xf>
    <xf numFmtId="164" fontId="1" fillId="17" borderId="23" xfId="0" applyNumberFormat="1" applyFont="1" applyFill="1" applyBorder="1"/>
    <xf numFmtId="0" fontId="9" fillId="0" borderId="71" xfId="0" applyFont="1" applyBorder="1"/>
    <xf numFmtId="164" fontId="0" fillId="0" borderId="0" xfId="0" applyNumberFormat="1" applyBorder="1"/>
    <xf numFmtId="10" fontId="0" fillId="0" borderId="0" xfId="0" applyNumberFormat="1"/>
    <xf numFmtId="164" fontId="0" fillId="0" borderId="54" xfId="0" applyNumberFormat="1" applyBorder="1" applyAlignment="1">
      <alignment horizontal="center" vertical="center"/>
    </xf>
    <xf numFmtId="10" fontId="0" fillId="0" borderId="55" xfId="0" applyNumberFormat="1" applyBorder="1" applyAlignment="1">
      <alignment horizontal="center" vertical="center"/>
    </xf>
    <xf numFmtId="164" fontId="0" fillId="0" borderId="54" xfId="0" applyNumberFormat="1" applyBorder="1"/>
    <xf numFmtId="10" fontId="0" fillId="0" borderId="55" xfId="0" applyNumberFormat="1" applyBorder="1"/>
    <xf numFmtId="164" fontId="1" fillId="17" borderId="22" xfId="0" applyNumberFormat="1" applyFont="1" applyFill="1" applyBorder="1"/>
    <xf numFmtId="164" fontId="1" fillId="0" borderId="21" xfId="0" applyNumberFormat="1" applyFont="1" applyFill="1" applyBorder="1"/>
    <xf numFmtId="164" fontId="1" fillId="0" borderId="22" xfId="0" applyNumberFormat="1" applyFont="1" applyFill="1" applyBorder="1"/>
    <xf numFmtId="164" fontId="1" fillId="17" borderId="21" xfId="0" applyNumberFormat="1" applyFont="1" applyFill="1" applyBorder="1"/>
    <xf numFmtId="0" fontId="1" fillId="13" borderId="23" xfId="0" applyFont="1" applyFill="1" applyBorder="1"/>
    <xf numFmtId="164" fontId="1" fillId="13" borderId="0" xfId="0" applyNumberFormat="1" applyFont="1" applyFill="1"/>
    <xf numFmtId="0" fontId="1" fillId="0" borderId="0" xfId="0" applyFont="1" applyFill="1"/>
    <xf numFmtId="10" fontId="0" fillId="12" borderId="33" xfId="2" applyNumberFormat="1" applyFont="1" applyFill="1" applyBorder="1" applyAlignment="1"/>
    <xf numFmtId="10" fontId="0" fillId="14" borderId="33" xfId="2" applyNumberFormat="1" applyFont="1" applyFill="1" applyBorder="1" applyAlignment="1"/>
    <xf numFmtId="10" fontId="0" fillId="13" borderId="47" xfId="2" applyNumberFormat="1" applyFont="1" applyFill="1" applyBorder="1" applyAlignment="1"/>
    <xf numFmtId="164" fontId="8" fillId="4" borderId="22" xfId="1" applyNumberFormat="1" applyFont="1" applyFill="1" applyBorder="1" applyAlignment="1">
      <alignment horizontal="center" vertical="center" wrapText="1"/>
    </xf>
    <xf numFmtId="10" fontId="8" fillId="4" borderId="23" xfId="1" applyNumberFormat="1" applyFont="1" applyFill="1" applyBorder="1" applyAlignment="1">
      <alignment horizontal="center" vertical="center" wrapText="1"/>
    </xf>
    <xf numFmtId="10" fontId="8" fillId="4" borderId="77" xfId="1" applyNumberFormat="1" applyFont="1" applyFill="1" applyBorder="1" applyAlignment="1">
      <alignment horizontal="center" vertical="center"/>
    </xf>
    <xf numFmtId="167" fontId="0" fillId="12" borderId="78" xfId="2" applyNumberFormat="1" applyFont="1" applyFill="1" applyBorder="1" applyAlignment="1"/>
    <xf numFmtId="167" fontId="0" fillId="14" borderId="78" xfId="2" applyNumberFormat="1" applyFont="1" applyFill="1" applyBorder="1" applyAlignment="1"/>
    <xf numFmtId="167" fontId="0" fillId="13" borderId="78" xfId="2" applyNumberFormat="1" applyFont="1" applyFill="1" applyBorder="1" applyAlignment="1"/>
    <xf numFmtId="167" fontId="0" fillId="4" borderId="78" xfId="2" applyNumberFormat="1" applyFont="1" applyFill="1" applyBorder="1" applyAlignment="1"/>
    <xf numFmtId="167" fontId="0" fillId="0" borderId="82" xfId="2" applyNumberFormat="1" applyFont="1" applyFill="1" applyBorder="1" applyAlignment="1"/>
    <xf numFmtId="164" fontId="4" fillId="0" borderId="0" xfId="0" applyNumberFormat="1" applyFont="1" applyBorder="1" applyAlignment="1">
      <alignment horizontal="center" vertical="center"/>
    </xf>
    <xf numFmtId="164" fontId="4" fillId="0" borderId="0" xfId="0" applyNumberFormat="1" applyFont="1" applyBorder="1" applyAlignment="1">
      <alignment horizontal="center"/>
    </xf>
    <xf numFmtId="164" fontId="4" fillId="0" borderId="55" xfId="0" applyNumberFormat="1" applyFont="1" applyBorder="1" applyAlignment="1">
      <alignment horizontal="center"/>
    </xf>
    <xf numFmtId="166" fontId="1" fillId="0" borderId="0" xfId="0" applyNumberFormat="1" applyFont="1" applyBorder="1" applyAlignment="1">
      <alignment horizontal="right"/>
    </xf>
    <xf numFmtId="164" fontId="1" fillId="0" borderId="0" xfId="0" applyNumberFormat="1" applyFont="1" applyFill="1" applyBorder="1"/>
    <xf numFmtId="164" fontId="1" fillId="0" borderId="55" xfId="0" applyNumberFormat="1" applyFont="1" applyFill="1" applyBorder="1"/>
    <xf numFmtId="164" fontId="1" fillId="0" borderId="0" xfId="0" applyNumberFormat="1" applyFont="1" applyBorder="1" applyAlignment="1">
      <alignment horizontal="right"/>
    </xf>
    <xf numFmtId="164" fontId="1" fillId="0" borderId="55" xfId="0" applyNumberFormat="1" applyFont="1" applyBorder="1"/>
    <xf numFmtId="165" fontId="1" fillId="0" borderId="0" xfId="0" applyNumberFormat="1" applyFont="1" applyBorder="1" applyAlignment="1">
      <alignment horizontal="right"/>
    </xf>
    <xf numFmtId="0" fontId="4" fillId="0" borderId="0" xfId="0" applyFont="1" applyBorder="1" applyAlignment="1">
      <alignment horizontal="right"/>
    </xf>
    <xf numFmtId="165" fontId="1" fillId="0" borderId="55" xfId="0" applyNumberFormat="1" applyFont="1" applyBorder="1" applyAlignment="1">
      <alignment horizontal="right"/>
    </xf>
    <xf numFmtId="0" fontId="1" fillId="0" borderId="0" xfId="0" applyFont="1" applyBorder="1" applyAlignment="1">
      <alignment horizontal="right"/>
    </xf>
    <xf numFmtId="0" fontId="1" fillId="4" borderId="0" xfId="0" applyFont="1" applyFill="1" applyBorder="1"/>
    <xf numFmtId="164" fontId="1" fillId="4" borderId="0" xfId="0" applyNumberFormat="1" applyFont="1" applyFill="1" applyBorder="1" applyAlignment="1">
      <alignment horizontal="right"/>
    </xf>
    <xf numFmtId="0" fontId="1" fillId="0" borderId="0" xfId="0" applyFont="1" applyFill="1" applyBorder="1"/>
    <xf numFmtId="164" fontId="1" fillId="0" borderId="0" xfId="0" applyNumberFormat="1" applyFont="1" applyFill="1" applyBorder="1" applyAlignment="1">
      <alignment horizontal="right"/>
    </xf>
    <xf numFmtId="0" fontId="4" fillId="14" borderId="86" xfId="0" applyFont="1" applyFill="1" applyBorder="1"/>
    <xf numFmtId="0" fontId="1" fillId="14" borderId="87" xfId="0" applyFont="1" applyFill="1" applyBorder="1"/>
    <xf numFmtId="0" fontId="0" fillId="0" borderId="54" xfId="0" applyBorder="1"/>
    <xf numFmtId="9" fontId="0" fillId="0" borderId="54" xfId="0" applyNumberFormat="1" applyBorder="1"/>
    <xf numFmtId="0" fontId="4" fillId="0" borderId="75" xfId="0" applyFont="1" applyFill="1" applyBorder="1" applyAlignment="1"/>
    <xf numFmtId="168" fontId="1" fillId="0" borderId="55" xfId="0" applyNumberFormat="1" applyFont="1" applyFill="1" applyBorder="1" applyAlignment="1"/>
    <xf numFmtId="168" fontId="0" fillId="0" borderId="55" xfId="0" applyNumberFormat="1" applyBorder="1"/>
    <xf numFmtId="168" fontId="1" fillId="0" borderId="76" xfId="0" applyNumberFormat="1" applyFont="1" applyFill="1" applyBorder="1" applyAlignment="1"/>
    <xf numFmtId="168" fontId="0" fillId="0" borderId="0" xfId="0" applyNumberFormat="1" applyBorder="1" applyAlignment="1"/>
    <xf numFmtId="168" fontId="0" fillId="0" borderId="0" xfId="0" applyNumberFormat="1" applyFont="1"/>
    <xf numFmtId="168" fontId="9" fillId="0" borderId="0" xfId="0" applyNumberFormat="1" applyFont="1" applyBorder="1" applyAlignment="1"/>
    <xf numFmtId="0" fontId="4" fillId="0" borderId="54" xfId="0" applyFont="1" applyFill="1" applyBorder="1" applyAlignment="1"/>
    <xf numFmtId="0" fontId="1" fillId="0" borderId="56" xfId="0" applyFont="1" applyBorder="1"/>
    <xf numFmtId="0" fontId="1" fillId="0" borderId="59" xfId="0" applyFont="1" applyFill="1" applyBorder="1" applyAlignment="1"/>
    <xf numFmtId="164" fontId="1" fillId="0" borderId="57" xfId="0" applyNumberFormat="1" applyFont="1" applyBorder="1"/>
    <xf numFmtId="0" fontId="1" fillId="0" borderId="54" xfId="0" applyFont="1" applyBorder="1"/>
    <xf numFmtId="0" fontId="4" fillId="0" borderId="55" xfId="0" applyFont="1" applyBorder="1" applyAlignment="1">
      <alignment horizontal="center"/>
    </xf>
    <xf numFmtId="165" fontId="1" fillId="0" borderId="55" xfId="0" applyNumberFormat="1" applyFont="1" applyBorder="1"/>
    <xf numFmtId="0" fontId="1" fillId="0" borderId="55" xfId="0" applyFont="1" applyFill="1" applyBorder="1" applyAlignment="1"/>
    <xf numFmtId="0" fontId="1" fillId="0" borderId="75" xfId="0" applyFont="1" applyBorder="1"/>
    <xf numFmtId="0" fontId="1" fillId="0" borderId="90" xfId="0" applyFont="1" applyBorder="1"/>
    <xf numFmtId="0" fontId="0" fillId="0" borderId="76" xfId="0" applyBorder="1"/>
    <xf numFmtId="16" fontId="1" fillId="0" borderId="55" xfId="0" applyNumberFormat="1" applyFont="1" applyBorder="1"/>
    <xf numFmtId="168" fontId="0" fillId="0" borderId="0" xfId="0" applyNumberFormat="1" applyFont="1" applyBorder="1"/>
    <xf numFmtId="168" fontId="1" fillId="0" borderId="90" xfId="0" applyNumberFormat="1" applyFont="1" applyFill="1" applyBorder="1" applyAlignment="1"/>
    <xf numFmtId="164" fontId="1" fillId="16" borderId="21" xfId="0" applyNumberFormat="1" applyFont="1" applyFill="1" applyBorder="1" applyAlignment="1">
      <alignment horizontal="right"/>
    </xf>
    <xf numFmtId="0" fontId="1" fillId="16" borderId="0" xfId="0" applyFont="1" applyFill="1" applyBorder="1"/>
    <xf numFmtId="164" fontId="1" fillId="0" borderId="21" xfId="0" applyNumberFormat="1" applyFont="1" applyFill="1" applyBorder="1" applyAlignment="1">
      <alignment horizontal="right"/>
    </xf>
    <xf numFmtId="168" fontId="1" fillId="0" borderId="0" xfId="0" applyNumberFormat="1" applyFont="1" applyBorder="1" applyAlignment="1">
      <alignment horizontal="right"/>
    </xf>
    <xf numFmtId="168" fontId="0" fillId="0" borderId="0" xfId="0" applyNumberFormat="1" applyBorder="1"/>
    <xf numFmtId="168" fontId="4" fillId="0" borderId="0" xfId="0" applyNumberFormat="1" applyFont="1" applyBorder="1" applyAlignment="1">
      <alignment horizontal="right"/>
    </xf>
    <xf numFmtId="168" fontId="1" fillId="0" borderId="30" xfId="0" applyNumberFormat="1" applyFont="1" applyBorder="1"/>
    <xf numFmtId="168" fontId="1" fillId="0" borderId="7" xfId="0" applyNumberFormat="1" applyFont="1" applyBorder="1"/>
    <xf numFmtId="168" fontId="1" fillId="10" borderId="25" xfId="0" applyNumberFormat="1" applyFont="1" applyFill="1" applyBorder="1"/>
    <xf numFmtId="164" fontId="0" fillId="0" borderId="59" xfId="0" applyNumberFormat="1" applyBorder="1" applyAlignment="1"/>
    <xf numFmtId="0" fontId="7" fillId="17" borderId="95" xfId="1" applyFont="1" applyFill="1" applyBorder="1" applyAlignment="1">
      <alignment vertical="center" wrapText="1"/>
    </xf>
    <xf numFmtId="167" fontId="0" fillId="17" borderId="78" xfId="2" applyNumberFormat="1" applyFont="1" applyFill="1" applyBorder="1" applyAlignment="1"/>
    <xf numFmtId="0" fontId="7" fillId="17" borderId="68" xfId="1" applyFont="1" applyFill="1" applyBorder="1"/>
    <xf numFmtId="0" fontId="7" fillId="17" borderId="64" xfId="1" applyFont="1" applyFill="1" applyBorder="1"/>
    <xf numFmtId="167" fontId="0" fillId="17" borderId="77" xfId="2" applyNumberFormat="1" applyFont="1" applyFill="1" applyBorder="1" applyAlignment="1"/>
    <xf numFmtId="168" fontId="0" fillId="0" borderId="54" xfId="0" applyNumberFormat="1" applyBorder="1" applyAlignment="1">
      <alignment horizontal="center"/>
    </xf>
    <xf numFmtId="168" fontId="0" fillId="0" borderId="55" xfId="0" applyNumberFormat="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17" fontId="4" fillId="3" borderId="8" xfId="0" applyNumberFormat="1" applyFont="1" applyFill="1" applyBorder="1" applyAlignment="1">
      <alignment horizontal="center"/>
    </xf>
    <xf numFmtId="17" fontId="4" fillId="3" borderId="9" xfId="0" applyNumberFormat="1" applyFont="1" applyFill="1" applyBorder="1" applyAlignment="1">
      <alignment horizontal="center"/>
    </xf>
    <xf numFmtId="17" fontId="4" fillId="3" borderId="10" xfId="0" applyNumberFormat="1" applyFont="1" applyFill="1" applyBorder="1" applyAlignment="1">
      <alignment horizontal="center"/>
    </xf>
    <xf numFmtId="0" fontId="4" fillId="4" borderId="1" xfId="0" applyFont="1" applyFill="1" applyBorder="1" applyAlignment="1">
      <alignment horizontal="center"/>
    </xf>
    <xf numFmtId="0" fontId="4" fillId="4" borderId="3" xfId="0" applyFont="1" applyFill="1" applyBorder="1" applyAlignment="1">
      <alignment horizontal="center"/>
    </xf>
    <xf numFmtId="164" fontId="4" fillId="3" borderId="13" xfId="0" applyNumberFormat="1" applyFont="1" applyFill="1" applyBorder="1" applyAlignment="1">
      <alignment horizontal="center" vertical="center"/>
    </xf>
    <xf numFmtId="164" fontId="4" fillId="3" borderId="2" xfId="0" applyNumberFormat="1" applyFont="1" applyFill="1" applyBorder="1" applyAlignment="1">
      <alignment horizontal="center" vertical="center"/>
    </xf>
    <xf numFmtId="164" fontId="4" fillId="3" borderId="14" xfId="0" applyNumberFormat="1" applyFont="1" applyFill="1" applyBorder="1" applyAlignment="1">
      <alignment horizontal="center" vertical="center"/>
    </xf>
    <xf numFmtId="0" fontId="4" fillId="6" borderId="15" xfId="0" applyFont="1" applyFill="1" applyBorder="1" applyAlignment="1">
      <alignment horizontal="center"/>
    </xf>
    <xf numFmtId="0" fontId="4" fillId="6" borderId="2" xfId="0" applyFont="1" applyFill="1" applyBorder="1" applyAlignment="1">
      <alignment horizontal="center"/>
    </xf>
    <xf numFmtId="0" fontId="4" fillId="6" borderId="16" xfId="0" applyFont="1" applyFill="1" applyBorder="1" applyAlignment="1">
      <alignment horizontal="center"/>
    </xf>
    <xf numFmtId="0" fontId="4" fillId="6" borderId="17" xfId="0" applyFont="1" applyFill="1" applyBorder="1" applyAlignment="1">
      <alignment horizontal="center"/>
    </xf>
    <xf numFmtId="0" fontId="4" fillId="6" borderId="18" xfId="0" applyFont="1" applyFill="1" applyBorder="1" applyAlignment="1">
      <alignment horizontal="center"/>
    </xf>
    <xf numFmtId="0" fontId="4" fillId="6" borderId="19" xfId="0" applyFont="1" applyFill="1" applyBorder="1" applyAlignment="1">
      <alignment horizontal="center"/>
    </xf>
    <xf numFmtId="0" fontId="4" fillId="6" borderId="20" xfId="0" applyFont="1" applyFill="1" applyBorder="1" applyAlignment="1">
      <alignment horizontal="center"/>
    </xf>
    <xf numFmtId="0" fontId="4" fillId="14" borderId="13" xfId="0" applyFont="1" applyFill="1" applyBorder="1" applyAlignment="1">
      <alignment horizontal="center"/>
    </xf>
    <xf numFmtId="0" fontId="4" fillId="14" borderId="16" xfId="0" applyFont="1" applyFill="1" applyBorder="1" applyAlignment="1">
      <alignment horizontal="center"/>
    </xf>
    <xf numFmtId="0" fontId="4" fillId="14" borderId="17" xfId="0" applyFont="1" applyFill="1" applyBorder="1" applyAlignment="1">
      <alignment horizontal="center"/>
    </xf>
    <xf numFmtId="0" fontId="4" fillId="14" borderId="2" xfId="0" applyFont="1" applyFill="1" applyBorder="1" applyAlignment="1">
      <alignment horizontal="center"/>
    </xf>
    <xf numFmtId="0" fontId="4" fillId="14" borderId="19" xfId="0" applyFont="1" applyFill="1" applyBorder="1" applyAlignment="1">
      <alignment horizontal="center"/>
    </xf>
    <xf numFmtId="0" fontId="4" fillId="13" borderId="1" xfId="0" applyFont="1" applyFill="1" applyBorder="1" applyAlignment="1">
      <alignment horizontal="center"/>
    </xf>
    <xf numFmtId="0" fontId="4" fillId="13" borderId="3" xfId="0" applyFont="1" applyFill="1" applyBorder="1" applyAlignment="1">
      <alignment horizontal="center"/>
    </xf>
    <xf numFmtId="0" fontId="4" fillId="6" borderId="27" xfId="0" applyFont="1" applyFill="1" applyBorder="1" applyAlignment="1">
      <alignment horizontal="center"/>
    </xf>
    <xf numFmtId="0" fontId="4" fillId="6" borderId="28" xfId="0" applyFont="1" applyFill="1" applyBorder="1" applyAlignment="1">
      <alignment horizontal="center"/>
    </xf>
    <xf numFmtId="164" fontId="4" fillId="13" borderId="4" xfId="0" applyNumberFormat="1" applyFont="1" applyFill="1" applyBorder="1" applyAlignment="1">
      <alignment horizontal="center" vertical="center"/>
    </xf>
    <xf numFmtId="164" fontId="4" fillId="13" borderId="7" xfId="0" applyNumberFormat="1" applyFont="1" applyFill="1" applyBorder="1" applyAlignment="1">
      <alignment horizontal="center" vertical="center"/>
    </xf>
    <xf numFmtId="164" fontId="4" fillId="13" borderId="46" xfId="0" applyNumberFormat="1" applyFont="1" applyFill="1" applyBorder="1" applyAlignment="1">
      <alignment horizontal="center" vertical="center"/>
    </xf>
    <xf numFmtId="164" fontId="4" fillId="13" borderId="25" xfId="0" applyNumberFormat="1" applyFont="1" applyFill="1" applyBorder="1" applyAlignment="1">
      <alignment horizontal="center" vertical="center"/>
    </xf>
    <xf numFmtId="164" fontId="1" fillId="14" borderId="37" xfId="0" applyNumberFormat="1" applyFont="1" applyFill="1" applyBorder="1" applyAlignment="1">
      <alignment horizontal="center"/>
    </xf>
    <xf numFmtId="164" fontId="1" fillId="14" borderId="12" xfId="0" applyNumberFormat="1" applyFont="1" applyFill="1" applyBorder="1" applyAlignment="1">
      <alignment horizontal="center"/>
    </xf>
    <xf numFmtId="164" fontId="1" fillId="14" borderId="35" xfId="0" applyNumberFormat="1" applyFont="1" applyFill="1" applyBorder="1" applyAlignment="1">
      <alignment horizontal="center"/>
    </xf>
    <xf numFmtId="164" fontId="1" fillId="14" borderId="36" xfId="0" applyNumberFormat="1" applyFont="1" applyFill="1" applyBorder="1" applyAlignment="1">
      <alignment horizontal="center"/>
    </xf>
    <xf numFmtId="164" fontId="1" fillId="14" borderId="32" xfId="0" applyNumberFormat="1" applyFont="1" applyFill="1" applyBorder="1" applyAlignment="1">
      <alignment horizontal="center"/>
    </xf>
    <xf numFmtId="164" fontId="1" fillId="14" borderId="34" xfId="0" applyNumberFormat="1" applyFont="1" applyFill="1" applyBorder="1" applyAlignment="1">
      <alignment horizontal="center"/>
    </xf>
    <xf numFmtId="164" fontId="1" fillId="6" borderId="37" xfId="0" applyNumberFormat="1" applyFont="1" applyFill="1" applyBorder="1" applyAlignment="1">
      <alignment horizontal="center" vertical="center"/>
    </xf>
    <xf numFmtId="164" fontId="1" fillId="6" borderId="38" xfId="0" applyNumberFormat="1" applyFont="1" applyFill="1" applyBorder="1" applyAlignment="1">
      <alignment horizontal="center" vertical="center"/>
    </xf>
    <xf numFmtId="164" fontId="1" fillId="0" borderId="21" xfId="0" applyNumberFormat="1" applyFont="1" applyBorder="1" applyAlignment="1">
      <alignment horizontal="center"/>
    </xf>
    <xf numFmtId="0" fontId="1" fillId="0" borderId="21" xfId="0" applyFont="1" applyBorder="1" applyAlignment="1">
      <alignment horizontal="center"/>
    </xf>
    <xf numFmtId="164" fontId="5" fillId="11" borderId="45" xfId="0" applyNumberFormat="1" applyFont="1" applyFill="1" applyBorder="1" applyAlignment="1">
      <alignment horizontal="center"/>
    </xf>
    <xf numFmtId="164" fontId="5" fillId="11" borderId="9" xfId="0" applyNumberFormat="1" applyFont="1" applyFill="1" applyBorder="1" applyAlignment="1">
      <alignment horizontal="center"/>
    </xf>
    <xf numFmtId="164" fontId="5" fillId="11" borderId="10" xfId="0" applyNumberFormat="1" applyFont="1" applyFill="1" applyBorder="1" applyAlignment="1">
      <alignment horizontal="center"/>
    </xf>
    <xf numFmtId="164" fontId="4" fillId="14" borderId="41" xfId="0" applyNumberFormat="1" applyFont="1" applyFill="1" applyBorder="1" applyAlignment="1">
      <alignment horizontal="center"/>
    </xf>
    <xf numFmtId="164" fontId="4" fillId="14" borderId="42" xfId="0" applyNumberFormat="1" applyFont="1" applyFill="1" applyBorder="1" applyAlignment="1">
      <alignment horizontal="center"/>
    </xf>
    <xf numFmtId="164" fontId="4" fillId="14" borderId="44" xfId="0" applyNumberFormat="1" applyFont="1" applyFill="1" applyBorder="1" applyAlignment="1">
      <alignment horizontal="center"/>
    </xf>
    <xf numFmtId="164" fontId="4" fillId="6" borderId="41" xfId="0" applyNumberFormat="1" applyFont="1" applyFill="1" applyBorder="1" applyAlignment="1">
      <alignment horizontal="center"/>
    </xf>
    <xf numFmtId="164" fontId="4" fillId="6" borderId="42" xfId="0" applyNumberFormat="1" applyFont="1" applyFill="1" applyBorder="1" applyAlignment="1">
      <alignment horizontal="center"/>
    </xf>
    <xf numFmtId="164" fontId="4" fillId="6" borderId="43" xfId="0" applyNumberFormat="1" applyFont="1" applyFill="1" applyBorder="1" applyAlignment="1">
      <alignment horizontal="center"/>
    </xf>
    <xf numFmtId="0" fontId="4" fillId="9" borderId="39" xfId="0" applyFont="1" applyFill="1" applyBorder="1" applyAlignment="1">
      <alignment horizontal="center"/>
    </xf>
    <xf numFmtId="0" fontId="4" fillId="9" borderId="40" xfId="0" applyFont="1" applyFill="1" applyBorder="1" applyAlignment="1">
      <alignment horizontal="center"/>
    </xf>
    <xf numFmtId="164" fontId="1" fillId="6" borderId="35" xfId="0" applyNumberFormat="1" applyFont="1" applyFill="1" applyBorder="1" applyAlignment="1">
      <alignment horizontal="center"/>
    </xf>
    <xf numFmtId="164" fontId="1" fillId="6" borderId="36" xfId="0" applyNumberFormat="1" applyFont="1" applyFill="1" applyBorder="1" applyAlignment="1">
      <alignment horizontal="center"/>
    </xf>
    <xf numFmtId="164" fontId="1" fillId="6" borderId="32" xfId="0" applyNumberFormat="1" applyFont="1" applyFill="1" applyBorder="1" applyAlignment="1">
      <alignment horizontal="center"/>
    </xf>
    <xf numFmtId="164" fontId="1" fillId="6" borderId="33" xfId="0" applyNumberFormat="1" applyFont="1" applyFill="1" applyBorder="1" applyAlignment="1">
      <alignment horizontal="center"/>
    </xf>
    <xf numFmtId="164" fontId="1" fillId="6" borderId="34" xfId="0" applyNumberFormat="1" applyFont="1" applyFill="1" applyBorder="1" applyAlignment="1">
      <alignment horizontal="center"/>
    </xf>
    <xf numFmtId="0" fontId="1" fillId="11" borderId="21" xfId="0" applyFont="1" applyFill="1" applyBorder="1" applyAlignment="1">
      <alignment horizontal="center"/>
    </xf>
    <xf numFmtId="0" fontId="1" fillId="11" borderId="0" xfId="0" applyFont="1" applyFill="1" applyBorder="1" applyAlignment="1">
      <alignment horizontal="center"/>
    </xf>
    <xf numFmtId="164" fontId="1" fillId="0" borderId="21" xfId="0" applyNumberFormat="1" applyFont="1" applyBorder="1" applyAlignment="1">
      <alignment horizontal="center" vertical="center"/>
    </xf>
    <xf numFmtId="0" fontId="1" fillId="0" borderId="21" xfId="0" applyFont="1" applyBorder="1" applyAlignment="1">
      <alignment horizontal="center" vertical="center"/>
    </xf>
    <xf numFmtId="165" fontId="1" fillId="0" borderId="21" xfId="0" applyNumberFormat="1" applyFont="1" applyBorder="1" applyAlignment="1">
      <alignment horizontal="center" vertical="center"/>
    </xf>
    <xf numFmtId="165" fontId="1" fillId="0" borderId="21" xfId="0" applyNumberFormat="1" applyFont="1" applyBorder="1" applyAlignment="1">
      <alignment horizontal="center"/>
    </xf>
    <xf numFmtId="0" fontId="4" fillId="12" borderId="88" xfId="0" applyFont="1" applyFill="1" applyBorder="1" applyAlignment="1">
      <alignment horizontal="center" vertical="center"/>
    </xf>
    <xf numFmtId="0" fontId="4" fillId="12" borderId="89" xfId="0" applyFont="1" applyFill="1" applyBorder="1" applyAlignment="1">
      <alignment horizontal="center" vertical="center"/>
    </xf>
    <xf numFmtId="17" fontId="4" fillId="3" borderId="83" xfId="0" applyNumberFormat="1" applyFont="1" applyFill="1" applyBorder="1" applyAlignment="1">
      <alignment horizontal="center"/>
    </xf>
    <xf numFmtId="0" fontId="4" fillId="14" borderId="84" xfId="0" applyFont="1" applyFill="1" applyBorder="1" applyAlignment="1">
      <alignment horizontal="center"/>
    </xf>
    <xf numFmtId="164" fontId="5" fillId="11" borderId="83" xfId="0" applyNumberFormat="1" applyFont="1" applyFill="1" applyBorder="1" applyAlignment="1">
      <alignment horizontal="center"/>
    </xf>
    <xf numFmtId="164" fontId="1" fillId="14" borderId="53" xfId="0" applyNumberFormat="1" applyFont="1" applyFill="1" applyBorder="1" applyAlignment="1">
      <alignment horizontal="center"/>
    </xf>
    <xf numFmtId="164" fontId="4" fillId="14" borderId="85" xfId="0" applyNumberFormat="1" applyFont="1" applyFill="1" applyBorder="1" applyAlignment="1">
      <alignment horizontal="center"/>
    </xf>
    <xf numFmtId="164" fontId="0" fillId="0" borderId="0" xfId="0" applyNumberFormat="1" applyAlignment="1">
      <alignment horizontal="center"/>
    </xf>
    <xf numFmtId="0" fontId="0" fillId="0" borderId="0" xfId="0" applyAlignment="1">
      <alignment horizontal="center"/>
    </xf>
    <xf numFmtId="168" fontId="0" fillId="0" borderId="54" xfId="0" applyNumberFormat="1" applyBorder="1" applyAlignment="1">
      <alignment horizontal="center"/>
    </xf>
    <xf numFmtId="168" fontId="0" fillId="0" borderId="55" xfId="0" applyNumberFormat="1" applyBorder="1" applyAlignment="1">
      <alignment horizontal="center"/>
    </xf>
    <xf numFmtId="168" fontId="0" fillId="0" borderId="75" xfId="0" applyNumberFormat="1" applyBorder="1" applyAlignment="1">
      <alignment horizontal="center"/>
    </xf>
    <xf numFmtId="168" fontId="0" fillId="0" borderId="76" xfId="0" applyNumberFormat="1" applyBorder="1" applyAlignment="1">
      <alignment horizontal="center"/>
    </xf>
    <xf numFmtId="0" fontId="0" fillId="0" borderId="56" xfId="0" applyBorder="1" applyAlignment="1">
      <alignment horizontal="center"/>
    </xf>
    <xf numFmtId="0" fontId="0" fillId="0" borderId="57" xfId="0" applyBorder="1" applyAlignment="1">
      <alignment horizontal="center"/>
    </xf>
    <xf numFmtId="164" fontId="0" fillId="0" borderId="72" xfId="0" applyNumberFormat="1" applyBorder="1" applyAlignment="1">
      <alignment horizontal="center"/>
    </xf>
    <xf numFmtId="0" fontId="0" fillId="0" borderId="91" xfId="0" applyBorder="1" applyAlignment="1">
      <alignment horizontal="center"/>
    </xf>
    <xf numFmtId="164" fontId="0" fillId="0" borderId="73" xfId="0" applyNumberFormat="1" applyBorder="1" applyAlignment="1">
      <alignment horizontal="center"/>
    </xf>
    <xf numFmtId="0" fontId="0" fillId="0" borderId="73" xfId="0" applyBorder="1" applyAlignment="1">
      <alignment horizontal="center"/>
    </xf>
    <xf numFmtId="0" fontId="7" fillId="4" borderId="79" xfId="1" applyFont="1" applyFill="1" applyBorder="1" applyAlignment="1">
      <alignment horizontal="center"/>
    </xf>
    <xf numFmtId="0" fontId="7" fillId="4" borderId="80" xfId="1" applyFont="1" applyFill="1" applyBorder="1" applyAlignment="1">
      <alignment horizontal="center"/>
    </xf>
    <xf numFmtId="0" fontId="7" fillId="4" borderId="81" xfId="1" applyFont="1" applyFill="1" applyBorder="1" applyAlignment="1">
      <alignment horizontal="center"/>
    </xf>
    <xf numFmtId="0" fontId="0" fillId="0" borderId="74" xfId="0" applyBorder="1" applyAlignment="1">
      <alignment horizontal="center"/>
    </xf>
    <xf numFmtId="164" fontId="0" fillId="0" borderId="98" xfId="0" applyNumberFormat="1" applyBorder="1" applyAlignment="1">
      <alignment horizontal="center"/>
    </xf>
    <xf numFmtId="164" fontId="0" fillId="0" borderId="99" xfId="0" applyNumberFormat="1" applyBorder="1" applyAlignment="1">
      <alignment horizontal="center"/>
    </xf>
    <xf numFmtId="0" fontId="7" fillId="4" borderId="56" xfId="1" applyFont="1" applyFill="1" applyBorder="1" applyAlignment="1">
      <alignment horizontal="center" vertical="center" wrapText="1"/>
    </xf>
    <xf numFmtId="0" fontId="7" fillId="4" borderId="59" xfId="1" applyFont="1" applyFill="1" applyBorder="1" applyAlignment="1">
      <alignment horizontal="center" vertical="center" wrapText="1"/>
    </xf>
    <xf numFmtId="164" fontId="7" fillId="4" borderId="33" xfId="1" applyNumberFormat="1" applyFont="1" applyFill="1" applyBorder="1" applyAlignment="1">
      <alignment horizontal="center" vertical="center" wrapText="1"/>
    </xf>
    <xf numFmtId="164" fontId="7" fillId="4" borderId="53" xfId="1" applyNumberFormat="1" applyFont="1" applyFill="1" applyBorder="1" applyAlignment="1">
      <alignment horizontal="center" vertical="center" wrapText="1"/>
    </xf>
    <xf numFmtId="164" fontId="6" fillId="17" borderId="68" xfId="1" applyNumberFormat="1" applyFill="1" applyBorder="1" applyAlignment="1">
      <alignment horizontal="center"/>
    </xf>
    <xf numFmtId="164" fontId="6" fillId="17" borderId="70" xfId="1" applyNumberFormat="1" applyFill="1" applyBorder="1" applyAlignment="1">
      <alignment horizontal="center"/>
    </xf>
    <xf numFmtId="164" fontId="6" fillId="17" borderId="69" xfId="1" applyNumberFormat="1" applyFill="1" applyBorder="1" applyAlignment="1">
      <alignment horizontal="center"/>
    </xf>
    <xf numFmtId="164" fontId="0" fillId="0" borderId="74" xfId="0" applyNumberFormat="1" applyBorder="1" applyAlignment="1">
      <alignment horizontal="center"/>
    </xf>
    <xf numFmtId="0" fontId="7" fillId="4" borderId="50" xfId="1" applyFont="1" applyFill="1" applyBorder="1" applyAlignment="1">
      <alignment horizontal="center" vertical="center" wrapText="1"/>
    </xf>
    <xf numFmtId="0" fontId="7" fillId="4" borderId="57" xfId="1" applyFont="1" applyFill="1" applyBorder="1" applyAlignment="1">
      <alignment horizontal="center" vertical="center" wrapText="1"/>
    </xf>
    <xf numFmtId="17" fontId="7" fillId="4" borderId="56" xfId="1" applyNumberFormat="1" applyFont="1" applyFill="1" applyBorder="1" applyAlignment="1">
      <alignment horizontal="center" vertical="center" wrapText="1"/>
    </xf>
    <xf numFmtId="164" fontId="7" fillId="4" borderId="50" xfId="1" applyNumberFormat="1" applyFont="1" applyFill="1" applyBorder="1" applyAlignment="1">
      <alignment horizontal="center" vertical="center" wrapText="1"/>
    </xf>
    <xf numFmtId="164" fontId="6" fillId="17" borderId="51" xfId="1" applyNumberFormat="1" applyFont="1" applyFill="1" applyBorder="1" applyAlignment="1">
      <alignment horizontal="center" vertical="center" wrapText="1"/>
    </xf>
    <xf numFmtId="164" fontId="6" fillId="17" borderId="92" xfId="1" applyNumberFormat="1" applyFont="1" applyFill="1" applyBorder="1" applyAlignment="1">
      <alignment horizontal="center" vertical="center" wrapText="1"/>
    </xf>
    <xf numFmtId="164" fontId="6" fillId="17" borderId="96" xfId="1" applyNumberFormat="1" applyFill="1" applyBorder="1" applyAlignment="1">
      <alignment horizontal="center"/>
    </xf>
    <xf numFmtId="164" fontId="6" fillId="17" borderId="97" xfId="1" applyNumberFormat="1" applyFill="1" applyBorder="1" applyAlignment="1">
      <alignment horizontal="center"/>
    </xf>
    <xf numFmtId="164" fontId="6" fillId="17" borderId="93" xfId="1" applyNumberFormat="1" applyFont="1" applyFill="1" applyBorder="1" applyAlignment="1">
      <alignment horizontal="center" vertical="center" wrapText="1"/>
    </xf>
    <xf numFmtId="164" fontId="6" fillId="17" borderId="94" xfId="1" applyNumberFormat="1" applyFont="1" applyFill="1" applyBorder="1" applyAlignment="1">
      <alignment horizontal="center" vertical="center" wrapText="1"/>
    </xf>
    <xf numFmtId="0" fontId="10" fillId="0" borderId="60" xfId="0" applyFont="1" applyBorder="1" applyAlignment="1">
      <alignment horizontal="center" vertical="center" wrapText="1"/>
    </xf>
    <xf numFmtId="0" fontId="10" fillId="0" borderId="62" xfId="0" applyFont="1" applyBorder="1" applyAlignment="1">
      <alignment horizontal="center" vertical="center" wrapText="1"/>
    </xf>
    <xf numFmtId="0" fontId="10" fillId="0" borderId="66" xfId="0" applyFont="1" applyBorder="1" applyAlignment="1">
      <alignment horizontal="center" vertical="center" wrapText="1"/>
    </xf>
    <xf numFmtId="0" fontId="0" fillId="15" borderId="63" xfId="0" applyFill="1" applyBorder="1" applyAlignment="1">
      <alignment horizontal="center"/>
    </xf>
    <xf numFmtId="0" fontId="0" fillId="15" borderId="64" xfId="0" applyFill="1" applyBorder="1" applyAlignment="1">
      <alignment horizontal="center"/>
    </xf>
    <xf numFmtId="0" fontId="0" fillId="15" borderId="65" xfId="0" applyFill="1" applyBorder="1" applyAlignment="1">
      <alignment horizontal="center"/>
    </xf>
    <xf numFmtId="0" fontId="0" fillId="15" borderId="0" xfId="0" applyFill="1" applyAlignment="1">
      <alignment horizontal="center"/>
    </xf>
    <xf numFmtId="0" fontId="0" fillId="15" borderId="67" xfId="0" applyFill="1" applyBorder="1" applyAlignment="1">
      <alignment horizontal="center"/>
    </xf>
    <xf numFmtId="0" fontId="0" fillId="15" borderId="0" xfId="0" applyFill="1" applyAlignment="1">
      <alignment horizontal="center" wrapText="1"/>
    </xf>
    <xf numFmtId="0" fontId="0" fillId="15" borderId="64" xfId="0" applyFill="1" applyBorder="1" applyAlignment="1">
      <alignment horizontal="center" wrapText="1"/>
    </xf>
    <xf numFmtId="0" fontId="0" fillId="15" borderId="65" xfId="0" applyFill="1" applyBorder="1" applyAlignment="1">
      <alignment horizontal="center" wrapText="1"/>
    </xf>
  </cellXfs>
  <cellStyles count="3">
    <cellStyle name="Normal" xfId="0" builtinId="0"/>
    <cellStyle name="Normal 2" xfId="1" xr:uid="{0C9947F2-C065-48F9-9494-A7BAF683B426}"/>
    <cellStyle name="Percentagem 2" xfId="2" xr:uid="{E76F04BC-8B8D-4CE7-97A7-9567EACE56E1}"/>
  </cellStyles>
  <dxfs count="0"/>
  <tableStyles count="0" defaultTableStyle="TableStyleMedium2" defaultPivotStyle="PivotStyleMedium9"/>
  <colors>
    <mruColors>
      <color rgb="FFAEBF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C3:AC44"/>
  <sheetViews>
    <sheetView topLeftCell="G4" workbookViewId="0">
      <selection activeCell="V18" sqref="V18"/>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758.76</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903.96</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1662.72</v>
      </c>
      <c r="F7" s="17"/>
      <c r="G7" s="18"/>
      <c r="H7" s="30"/>
      <c r="I7" s="18" t="s">
        <v>21</v>
      </c>
      <c r="J7" s="31">
        <v>120.51</v>
      </c>
      <c r="K7" s="32"/>
      <c r="L7" s="4" t="s">
        <v>22</v>
      </c>
      <c r="M7" s="33">
        <v>500</v>
      </c>
      <c r="N7" s="4" t="s">
        <v>23</v>
      </c>
      <c r="O7" s="33">
        <v>20.13</v>
      </c>
      <c r="P7" s="34"/>
      <c r="Q7" s="18">
        <v>2.8</v>
      </c>
      <c r="R7" s="30" t="s">
        <v>24</v>
      </c>
      <c r="S7" s="33">
        <v>22</v>
      </c>
      <c r="T7" s="4" t="s">
        <v>25</v>
      </c>
      <c r="U7" s="18"/>
      <c r="V7" s="35" t="s">
        <v>26</v>
      </c>
      <c r="W7" s="18">
        <v>10</v>
      </c>
      <c r="X7" s="36" t="s">
        <v>27</v>
      </c>
      <c r="Y7" s="17">
        <v>40</v>
      </c>
      <c r="Z7" s="18"/>
      <c r="AA7" s="4"/>
      <c r="AB7" s="13" t="s">
        <v>7</v>
      </c>
      <c r="AC7" s="14" t="s">
        <v>28</v>
      </c>
    </row>
    <row r="8" spans="3:29" ht="16.5">
      <c r="C8" s="5"/>
      <c r="D8" s="37" t="s">
        <v>29</v>
      </c>
      <c r="E8" s="38">
        <f>J31</f>
        <v>115.20000000000005</v>
      </c>
      <c r="F8" s="17"/>
      <c r="G8" s="18"/>
      <c r="H8" s="245" t="s">
        <v>30</v>
      </c>
      <c r="I8" s="18" t="s">
        <v>31</v>
      </c>
      <c r="J8">
        <v>722.52</v>
      </c>
      <c r="K8" s="32"/>
      <c r="L8" s="4" t="s">
        <v>32</v>
      </c>
      <c r="M8" s="33">
        <v>50</v>
      </c>
      <c r="N8" s="4" t="s">
        <v>23</v>
      </c>
      <c r="O8" s="18">
        <v>21</v>
      </c>
      <c r="P8" s="34"/>
      <c r="Q8" s="18">
        <v>35.4</v>
      </c>
      <c r="R8" s="30" t="s">
        <v>33</v>
      </c>
      <c r="S8" s="33">
        <v>16.47</v>
      </c>
      <c r="T8" s="4" t="s">
        <v>34</v>
      </c>
      <c r="U8" s="18">
        <v>49</v>
      </c>
      <c r="V8" s="35" t="s">
        <v>35</v>
      </c>
      <c r="W8" s="18">
        <v>13.5</v>
      </c>
      <c r="X8" s="36" t="s">
        <v>36</v>
      </c>
      <c r="Y8" s="17">
        <v>8.61</v>
      </c>
      <c r="Z8" s="18"/>
      <c r="AA8" s="4"/>
      <c r="AB8" s="67" t="s">
        <v>8</v>
      </c>
      <c r="AC8" s="68" t="s">
        <v>37</v>
      </c>
    </row>
    <row r="9" spans="3:29" ht="16.5">
      <c r="C9" s="5"/>
      <c r="D9" s="4"/>
      <c r="E9" s="39"/>
      <c r="F9" s="17"/>
      <c r="G9" s="18"/>
      <c r="H9" s="245"/>
      <c r="I9" s="18" t="s">
        <v>38</v>
      </c>
      <c r="J9" s="31">
        <v>15</v>
      </c>
      <c r="K9" s="32"/>
      <c r="L9" s="4" t="s">
        <v>39</v>
      </c>
      <c r="M9" s="33"/>
      <c r="N9" s="18"/>
      <c r="O9" s="18"/>
      <c r="P9" s="34"/>
      <c r="Q9" s="18">
        <v>16.98</v>
      </c>
      <c r="R9" s="30" t="s">
        <v>40</v>
      </c>
      <c r="S9" s="33">
        <v>5</v>
      </c>
      <c r="T9" s="4"/>
      <c r="U9" s="18">
        <v>22</v>
      </c>
      <c r="V9" s="106" t="s">
        <v>41</v>
      </c>
      <c r="W9" s="107">
        <v>37.85</v>
      </c>
      <c r="X9" s="36"/>
      <c r="Y9" s="17"/>
      <c r="Z9" s="18"/>
      <c r="AA9" s="4"/>
      <c r="AB9" s="67" t="s">
        <v>42</v>
      </c>
      <c r="AC9" s="68" t="s">
        <v>43</v>
      </c>
    </row>
    <row r="10" spans="3:29" ht="16.5">
      <c r="C10" s="5"/>
      <c r="D10" s="4"/>
      <c r="E10" s="18"/>
      <c r="F10" s="17"/>
      <c r="G10" s="18"/>
      <c r="H10" s="246" t="s">
        <v>30</v>
      </c>
      <c r="I10" s="18" t="s">
        <v>44</v>
      </c>
      <c r="J10" s="31">
        <v>353</v>
      </c>
      <c r="K10" s="32"/>
      <c r="L10" s="4" t="s">
        <v>45</v>
      </c>
      <c r="M10" s="33"/>
      <c r="N10" s="18"/>
      <c r="O10" s="18"/>
      <c r="P10" s="34"/>
      <c r="Q10" s="41">
        <v>15</v>
      </c>
      <c r="R10" s="18" t="s">
        <v>46</v>
      </c>
      <c r="S10" s="33">
        <v>15</v>
      </c>
      <c r="T10" s="4" t="s">
        <v>47</v>
      </c>
      <c r="U10" s="18">
        <v>14</v>
      </c>
      <c r="V10" s="106" t="s">
        <v>48</v>
      </c>
      <c r="W10" s="107">
        <v>337</v>
      </c>
      <c r="X10" s="36"/>
      <c r="Y10" s="17"/>
      <c r="Z10" s="18"/>
      <c r="AA10" s="4"/>
      <c r="AB10" s="67" t="s">
        <v>10</v>
      </c>
      <c r="AC10" s="68" t="s">
        <v>49</v>
      </c>
    </row>
    <row r="11" spans="3:29" ht="16.5">
      <c r="C11" s="5"/>
      <c r="D11" s="231" t="s">
        <v>50</v>
      </c>
      <c r="E11" s="232"/>
      <c r="F11" s="17"/>
      <c r="G11" s="18"/>
      <c r="H11" s="246"/>
      <c r="I11" s="18" t="s">
        <v>38</v>
      </c>
      <c r="J11" s="31">
        <v>12.5</v>
      </c>
      <c r="K11" s="32"/>
      <c r="L11" s="4"/>
      <c r="M11" s="33"/>
      <c r="N11" s="18"/>
      <c r="O11" s="18"/>
      <c r="P11" s="34"/>
      <c r="Q11" s="41">
        <v>7</v>
      </c>
      <c r="R11" s="18" t="s">
        <v>51</v>
      </c>
      <c r="S11" s="33">
        <v>17</v>
      </c>
      <c r="T11" s="4" t="s">
        <v>52</v>
      </c>
      <c r="U11" s="18">
        <v>78</v>
      </c>
      <c r="V11" s="35" t="s">
        <v>53</v>
      </c>
      <c r="W11" s="18">
        <v>7</v>
      </c>
      <c r="X11" s="36"/>
      <c r="Y11" s="17"/>
      <c r="Z11" s="18"/>
      <c r="AA11" s="4"/>
      <c r="AB11" s="69" t="s">
        <v>54</v>
      </c>
      <c r="AC11" s="70" t="s">
        <v>55</v>
      </c>
    </row>
    <row r="12" spans="3:29" ht="16.5">
      <c r="C12" s="5"/>
      <c r="D12" s="42" t="s">
        <v>56</v>
      </c>
      <c r="E12" s="43">
        <v>2000</v>
      </c>
      <c r="F12" s="11"/>
      <c r="G12" s="12"/>
      <c r="H12" s="246" t="s">
        <v>30</v>
      </c>
      <c r="I12" s="18" t="s">
        <v>57</v>
      </c>
      <c r="J12" s="31">
        <v>282</v>
      </c>
      <c r="K12" s="32"/>
      <c r="L12" s="4"/>
      <c r="M12" s="33"/>
      <c r="N12" s="18"/>
      <c r="O12" s="18"/>
      <c r="P12" s="34"/>
      <c r="Q12" s="18">
        <v>6.36</v>
      </c>
      <c r="R12" s="30" t="s">
        <v>58</v>
      </c>
      <c r="S12" s="33">
        <v>17</v>
      </c>
      <c r="T12" s="4" t="s">
        <v>59</v>
      </c>
      <c r="U12" s="18">
        <v>28</v>
      </c>
      <c r="V12" s="35" t="s">
        <v>60</v>
      </c>
      <c r="W12" s="18">
        <v>5</v>
      </c>
      <c r="X12" s="36"/>
      <c r="Y12" s="17"/>
      <c r="Z12" s="18"/>
      <c r="AA12" s="4"/>
    </row>
    <row r="13" spans="3:29" ht="16.5">
      <c r="C13" s="5"/>
      <c r="D13" s="42" t="s">
        <v>61</v>
      </c>
      <c r="E13" s="17">
        <v>0</v>
      </c>
      <c r="F13" s="44"/>
      <c r="G13" s="39"/>
      <c r="H13" s="246"/>
      <c r="I13" s="18" t="s">
        <v>38</v>
      </c>
      <c r="J13" s="46">
        <v>20</v>
      </c>
      <c r="K13" s="47"/>
      <c r="L13" s="4"/>
      <c r="M13" s="33"/>
      <c r="N13" s="18"/>
      <c r="O13" s="18"/>
      <c r="P13" s="34"/>
      <c r="Q13" s="18">
        <v>8.09</v>
      </c>
      <c r="R13" s="30" t="s">
        <v>62</v>
      </c>
      <c r="S13" s="33">
        <v>146.5</v>
      </c>
      <c r="T13" s="4" t="s">
        <v>63</v>
      </c>
      <c r="U13" s="18">
        <v>5.64</v>
      </c>
      <c r="V13" s="106" t="s">
        <v>64</v>
      </c>
      <c r="W13" s="107">
        <v>25</v>
      </c>
      <c r="X13" s="36"/>
      <c r="Y13" s="17"/>
      <c r="Z13" s="18"/>
      <c r="AA13" s="4"/>
      <c r="AB13" s="4"/>
      <c r="AC13" s="4"/>
    </row>
    <row r="14" spans="3:29" ht="16.5">
      <c r="C14" s="5"/>
      <c r="D14" s="48" t="s">
        <v>20</v>
      </c>
      <c r="E14" s="49">
        <f>SUM(E12:E13)</f>
        <v>2000</v>
      </c>
      <c r="F14" s="50"/>
      <c r="G14" s="39"/>
      <c r="H14" s="45"/>
      <c r="I14" s="18" t="s">
        <v>65</v>
      </c>
      <c r="J14" s="46">
        <v>371</v>
      </c>
      <c r="K14" s="47"/>
      <c r="L14" s="4"/>
      <c r="M14" s="33"/>
      <c r="N14" s="18"/>
      <c r="O14" s="18"/>
      <c r="P14" s="34"/>
      <c r="Q14" s="18">
        <v>23</v>
      </c>
      <c r="R14" s="30"/>
      <c r="S14" s="33"/>
      <c r="T14" s="4" t="s">
        <v>66</v>
      </c>
      <c r="U14" s="18">
        <v>14</v>
      </c>
      <c r="V14" s="35" t="s">
        <v>67</v>
      </c>
      <c r="W14" s="18">
        <v>13</v>
      </c>
      <c r="X14" s="36"/>
      <c r="Y14" s="17"/>
      <c r="Z14" s="18"/>
      <c r="AA14" s="4"/>
      <c r="AB14" s="4"/>
      <c r="AC14" s="4"/>
    </row>
    <row r="15" spans="3:29" ht="16.5">
      <c r="C15" s="5"/>
      <c r="D15" s="2"/>
      <c r="E15" s="2"/>
      <c r="F15" s="44"/>
      <c r="G15" s="39"/>
      <c r="H15" s="45"/>
      <c r="I15" s="39" t="s">
        <v>68</v>
      </c>
      <c r="J15" s="46">
        <v>30</v>
      </c>
      <c r="K15" s="47"/>
      <c r="L15" s="4"/>
      <c r="M15" s="33"/>
      <c r="N15" s="18"/>
      <c r="O15" s="18"/>
      <c r="P15" s="34"/>
      <c r="Q15" s="18">
        <v>53</v>
      </c>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51"/>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D19" s="71"/>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71"/>
      <c r="E24" s="71"/>
      <c r="F24" s="99"/>
      <c r="G24" s="39"/>
      <c r="H24" s="45"/>
      <c r="I24" s="59" t="s">
        <v>20</v>
      </c>
      <c r="J24" s="60">
        <f>SUM(J7:J23)</f>
        <v>1926.53</v>
      </c>
      <c r="K24" s="58"/>
      <c r="L24" s="4"/>
      <c r="M24" s="33"/>
      <c r="N24" s="18"/>
      <c r="O24" s="18"/>
      <c r="P24" s="34"/>
      <c r="Q24" s="18"/>
      <c r="R24" s="30"/>
      <c r="S24" s="33"/>
      <c r="T24" s="4"/>
      <c r="U24" s="18"/>
      <c r="V24" s="35"/>
      <c r="W24" s="18"/>
      <c r="X24" s="36"/>
      <c r="Y24" s="17"/>
      <c r="Z24" s="18"/>
      <c r="AA24" s="4"/>
      <c r="AB24" s="4"/>
      <c r="AC24" s="4"/>
    </row>
    <row r="25" spans="3:29" ht="16.5">
      <c r="C25" s="98"/>
      <c r="D25" s="71"/>
      <c r="E25" s="71"/>
      <c r="F25" s="98"/>
      <c r="G25" s="4"/>
      <c r="H25" s="40"/>
      <c r="I25" s="4" t="s">
        <v>69</v>
      </c>
      <c r="J25" s="31">
        <v>100</v>
      </c>
      <c r="K25" s="58"/>
      <c r="L25" s="4"/>
      <c r="M25" s="33"/>
      <c r="N25" s="18"/>
      <c r="O25" s="18"/>
      <c r="P25" s="34"/>
      <c r="Q25" s="18"/>
      <c r="R25" s="30"/>
      <c r="S25" s="33"/>
      <c r="T25" s="4"/>
      <c r="U25" s="18"/>
      <c r="V25" s="35" t="s">
        <v>70</v>
      </c>
      <c r="W25" s="18">
        <v>6</v>
      </c>
      <c r="X25" s="36"/>
      <c r="Y25" s="17"/>
      <c r="Z25" s="18"/>
      <c r="AA25" s="4"/>
      <c r="AB25" s="18"/>
      <c r="AC25" s="4"/>
    </row>
    <row r="26" spans="3:29" ht="16.5">
      <c r="C26" s="98"/>
      <c r="D26" s="71"/>
      <c r="E26" s="71"/>
      <c r="F26" s="98"/>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D27" s="71"/>
      <c r="E27" s="71"/>
      <c r="F27" s="98"/>
      <c r="G27" s="4"/>
      <c r="H27" s="40"/>
      <c r="I27" s="65" t="s">
        <v>11</v>
      </c>
      <c r="J27" s="66">
        <f>X30</f>
        <v>48.61</v>
      </c>
      <c r="K27" s="32"/>
      <c r="L27" s="4"/>
      <c r="M27" s="33"/>
      <c r="N27" s="18"/>
      <c r="O27" s="18"/>
      <c r="P27" s="34"/>
      <c r="Q27" s="18"/>
      <c r="R27" s="30"/>
      <c r="S27" s="33"/>
      <c r="T27" s="4"/>
      <c r="U27" s="18"/>
      <c r="V27" s="35"/>
      <c r="W27" s="18"/>
      <c r="X27" s="36"/>
      <c r="Y27" s="17"/>
      <c r="Z27" s="18"/>
      <c r="AA27" s="4"/>
      <c r="AB27" s="4"/>
      <c r="AC27" s="4"/>
    </row>
    <row r="28" spans="3:29" ht="16.5">
      <c r="C28" s="98"/>
      <c r="D28" s="97"/>
      <c r="E28" s="97"/>
      <c r="F28" s="98"/>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7"/>
      <c r="E29" s="97"/>
      <c r="F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1777.92</v>
      </c>
      <c r="K30" s="260">
        <f>SUM(M7:M29)</f>
        <v>550</v>
      </c>
      <c r="L30" s="261"/>
      <c r="M30" s="262"/>
      <c r="N30" s="258">
        <f>SUM(O7:O29)</f>
        <v>41.129999999999995</v>
      </c>
      <c r="O30" s="259"/>
      <c r="P30" s="243">
        <f>SUM(Q7:Q29)</f>
        <v>167.63</v>
      </c>
      <c r="Q30" s="244"/>
      <c r="R30" s="241">
        <f>SUM(S7:S29)</f>
        <v>238.97</v>
      </c>
      <c r="S30" s="242"/>
      <c r="T30" s="239">
        <f>SUM(U7:U29)</f>
        <v>210.64</v>
      </c>
      <c r="U30" s="240"/>
      <c r="V30" s="237">
        <f>SUM(W7:W29)</f>
        <v>454.35</v>
      </c>
      <c r="W30" s="238"/>
      <c r="X30" s="233">
        <f>SUM(Y7:Y29)</f>
        <v>48.61</v>
      </c>
      <c r="Y30" s="234"/>
      <c r="Z30" s="18"/>
      <c r="AA30" s="4"/>
    </row>
    <row r="31" spans="3:29" ht="16.5">
      <c r="C31" s="98"/>
      <c r="D31" s="97"/>
      <c r="E31" s="97"/>
      <c r="F31" s="98"/>
      <c r="G31" s="4"/>
      <c r="H31" s="256" t="s">
        <v>29</v>
      </c>
      <c r="I31" s="257"/>
      <c r="J31" s="62">
        <f>J30-K32</f>
        <v>115.20000000000005</v>
      </c>
      <c r="K31" s="253">
        <f>SUM(K30:Q30)</f>
        <v>758.76</v>
      </c>
      <c r="L31" s="254"/>
      <c r="M31" s="254"/>
      <c r="N31" s="254"/>
      <c r="O31" s="254"/>
      <c r="P31" s="254"/>
      <c r="Q31" s="255"/>
      <c r="R31" s="250">
        <f>R30+T30+V30</f>
        <v>903.96</v>
      </c>
      <c r="S31" s="251"/>
      <c r="T31" s="251"/>
      <c r="U31" s="251"/>
      <c r="V31" s="251"/>
      <c r="W31" s="252"/>
      <c r="X31" s="233"/>
      <c r="Y31" s="234"/>
      <c r="Z31" s="18"/>
      <c r="AA31" s="4"/>
    </row>
    <row r="32" spans="3:29" ht="18.75">
      <c r="C32" s="98"/>
      <c r="D32" s="97"/>
      <c r="E32" s="97"/>
      <c r="F32" s="98"/>
      <c r="G32" s="4"/>
      <c r="H32" s="4"/>
      <c r="I32" s="18"/>
      <c r="J32" s="31"/>
      <c r="K32" s="247">
        <f>K31+R31</f>
        <v>1662.72</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M37" s="63"/>
    </row>
    <row r="38" spans="3:27">
      <c r="C38" s="72"/>
      <c r="D38" s="97"/>
      <c r="E38" s="97"/>
      <c r="F38" s="72"/>
      <c r="P38" s="64"/>
    </row>
    <row r="39" spans="3:27">
      <c r="C39" s="72"/>
      <c r="D39" s="72"/>
      <c r="E39" s="72"/>
      <c r="F39" s="72"/>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H8:H9"/>
    <mergeCell ref="H10:H11"/>
    <mergeCell ref="H12:H13"/>
    <mergeCell ref="K32:W32"/>
    <mergeCell ref="R31:W31"/>
    <mergeCell ref="K31:Q31"/>
    <mergeCell ref="H31:I31"/>
    <mergeCell ref="N30:O30"/>
    <mergeCell ref="K30:M30"/>
    <mergeCell ref="H30:I30"/>
    <mergeCell ref="D11:E11"/>
    <mergeCell ref="X30:Y32"/>
    <mergeCell ref="V30:W30"/>
    <mergeCell ref="T30:U30"/>
    <mergeCell ref="R30:S30"/>
    <mergeCell ref="P30:Q30"/>
    <mergeCell ref="D4:E4"/>
    <mergeCell ref="H4:Y4"/>
    <mergeCell ref="AB4:AC4"/>
    <mergeCell ref="H5:J5"/>
    <mergeCell ref="K5:M5"/>
    <mergeCell ref="N5:O5"/>
    <mergeCell ref="P5:Q5"/>
    <mergeCell ref="R5:S5"/>
    <mergeCell ref="T5:U5"/>
    <mergeCell ref="V5:W5"/>
    <mergeCell ref="X5:Y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746D-70FD-4F6A-962E-17FB3A5093C7}">
  <sheetPr>
    <tabColor theme="5" tint="0.79998168889431442"/>
  </sheetPr>
  <dimension ref="C3:AC44"/>
  <sheetViews>
    <sheetView topLeftCell="F4" workbookViewId="0">
      <selection activeCell="J9" sqref="J9"/>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75</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806.37</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662.42000000000007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1468.79</v>
      </c>
      <c r="F7" s="17"/>
      <c r="G7" s="18"/>
      <c r="H7" s="30"/>
      <c r="I7" s="18" t="s">
        <v>21</v>
      </c>
      <c r="J7" s="31">
        <v>115.81</v>
      </c>
      <c r="K7" s="32"/>
      <c r="L7" s="4" t="s">
        <v>22</v>
      </c>
      <c r="M7" s="33">
        <v>500</v>
      </c>
      <c r="N7" s="4" t="s">
        <v>76</v>
      </c>
      <c r="O7" s="33">
        <v>17.899999999999999</v>
      </c>
      <c r="P7" s="34"/>
      <c r="Q7" s="18">
        <v>5.37</v>
      </c>
      <c r="R7" s="30" t="s">
        <v>77</v>
      </c>
      <c r="S7" s="33">
        <v>13</v>
      </c>
      <c r="T7" s="4" t="s">
        <v>78</v>
      </c>
      <c r="U7" s="18">
        <v>36</v>
      </c>
      <c r="V7" s="35" t="s">
        <v>79</v>
      </c>
      <c r="W7" s="18">
        <v>9</v>
      </c>
      <c r="X7" s="36" t="s">
        <v>27</v>
      </c>
      <c r="Y7" s="17">
        <v>35.380000000000003</v>
      </c>
      <c r="Z7" s="18"/>
      <c r="AA7" s="4"/>
      <c r="AB7" s="13" t="s">
        <v>7</v>
      </c>
      <c r="AC7" s="14" t="s">
        <v>28</v>
      </c>
    </row>
    <row r="8" spans="3:29" ht="16.5">
      <c r="C8" s="5"/>
      <c r="D8" s="37" t="s">
        <v>29</v>
      </c>
      <c r="E8" s="38">
        <f>J31</f>
        <v>418.40000000000009</v>
      </c>
      <c r="F8" s="17"/>
      <c r="G8" s="18"/>
      <c r="H8" s="245"/>
      <c r="I8" s="18" t="s">
        <v>80</v>
      </c>
      <c r="J8" s="63">
        <v>197</v>
      </c>
      <c r="K8" s="32"/>
      <c r="L8" s="4" t="s">
        <v>32</v>
      </c>
      <c r="M8" s="33">
        <v>50</v>
      </c>
      <c r="N8" s="4" t="s">
        <v>81</v>
      </c>
      <c r="O8" s="18">
        <v>43</v>
      </c>
      <c r="P8" s="34" t="s">
        <v>82</v>
      </c>
      <c r="Q8" s="18">
        <v>11</v>
      </c>
      <c r="R8" s="30" t="s">
        <v>83</v>
      </c>
      <c r="S8" s="33">
        <v>13.5</v>
      </c>
      <c r="T8" s="4" t="s">
        <v>84</v>
      </c>
      <c r="U8" s="18">
        <v>7</v>
      </c>
      <c r="V8" s="35" t="s">
        <v>85</v>
      </c>
      <c r="W8" s="18">
        <v>5</v>
      </c>
      <c r="X8" s="36" t="s">
        <v>36</v>
      </c>
      <c r="Y8" s="17">
        <v>8.61</v>
      </c>
      <c r="Z8" s="18"/>
      <c r="AA8" s="4"/>
      <c r="AB8" s="67" t="s">
        <v>8</v>
      </c>
      <c r="AC8" s="68" t="s">
        <v>37</v>
      </c>
    </row>
    <row r="9" spans="3:29" ht="16.5">
      <c r="C9" s="5"/>
      <c r="D9" s="4"/>
      <c r="E9" s="39"/>
      <c r="F9" s="17"/>
      <c r="G9" s="18"/>
      <c r="H9" s="245"/>
      <c r="I9" s="18" t="s">
        <v>38</v>
      </c>
      <c r="J9" s="31">
        <v>55</v>
      </c>
      <c r="K9" s="32"/>
      <c r="L9" s="4" t="s">
        <v>39</v>
      </c>
      <c r="M9" s="33">
        <v>63.5</v>
      </c>
      <c r="N9" s="18"/>
      <c r="O9" s="18"/>
      <c r="P9" s="34" t="s">
        <v>86</v>
      </c>
      <c r="Q9" s="18">
        <v>41</v>
      </c>
      <c r="R9" s="30" t="s">
        <v>87</v>
      </c>
      <c r="S9" s="33">
        <v>28</v>
      </c>
      <c r="T9" s="109" t="s">
        <v>88</v>
      </c>
      <c r="U9" s="107">
        <v>230</v>
      </c>
      <c r="V9" s="106" t="s">
        <v>89</v>
      </c>
      <c r="W9" s="107">
        <v>52</v>
      </c>
      <c r="X9" s="36"/>
      <c r="Y9" s="17"/>
      <c r="Z9" s="18"/>
      <c r="AA9" s="4"/>
      <c r="AB9" s="67" t="s">
        <v>42</v>
      </c>
      <c r="AC9" s="68" t="s">
        <v>43</v>
      </c>
    </row>
    <row r="10" spans="3:29" ht="16.5">
      <c r="C10" s="5"/>
      <c r="D10" s="4"/>
      <c r="E10" s="18"/>
      <c r="F10" s="17"/>
      <c r="G10" s="18"/>
      <c r="H10" s="246"/>
      <c r="I10" s="18" t="s">
        <v>90</v>
      </c>
      <c r="J10" s="31">
        <v>355.8</v>
      </c>
      <c r="K10" s="32"/>
      <c r="L10" s="4" t="s">
        <v>45</v>
      </c>
      <c r="M10" s="33"/>
      <c r="N10" s="18"/>
      <c r="O10" s="18"/>
      <c r="P10" s="34"/>
      <c r="Q10" s="41">
        <v>8</v>
      </c>
      <c r="R10" s="18"/>
      <c r="S10" s="33"/>
      <c r="T10" s="4" t="s">
        <v>91</v>
      </c>
      <c r="U10" s="18">
        <v>31.72</v>
      </c>
      <c r="V10" s="106" t="s">
        <v>92</v>
      </c>
      <c r="W10" s="107">
        <v>108</v>
      </c>
      <c r="X10" s="36"/>
      <c r="Y10" s="17"/>
      <c r="Z10" s="18"/>
      <c r="AA10" s="4"/>
      <c r="AB10" s="67" t="s">
        <v>10</v>
      </c>
      <c r="AC10" s="68" t="s">
        <v>49</v>
      </c>
    </row>
    <row r="11" spans="3:29" ht="16.5">
      <c r="C11" s="5"/>
      <c r="D11" s="231" t="s">
        <v>50</v>
      </c>
      <c r="E11" s="232"/>
      <c r="F11" s="17"/>
      <c r="G11" s="18"/>
      <c r="H11" s="246"/>
      <c r="I11" s="18" t="s">
        <v>38</v>
      </c>
      <c r="J11" s="31">
        <v>30</v>
      </c>
      <c r="K11" s="32"/>
      <c r="L11" s="4"/>
      <c r="M11" s="33"/>
      <c r="N11" s="18"/>
      <c r="O11" s="18"/>
      <c r="P11" s="112"/>
      <c r="Q11" s="113">
        <v>21</v>
      </c>
      <c r="R11" s="18"/>
      <c r="S11" s="33"/>
      <c r="T11" s="4"/>
      <c r="U11" s="18">
        <v>16</v>
      </c>
      <c r="V11" s="106" t="s">
        <v>93</v>
      </c>
      <c r="W11" s="107">
        <v>101</v>
      </c>
      <c r="X11" s="36"/>
      <c r="Y11" s="17"/>
      <c r="Z11" s="18"/>
      <c r="AA11" s="4"/>
      <c r="AB11" s="69" t="s">
        <v>54</v>
      </c>
      <c r="AC11" s="70" t="s">
        <v>55</v>
      </c>
    </row>
    <row r="12" spans="3:29" ht="16.5">
      <c r="C12" s="5"/>
      <c r="D12" s="42" t="s">
        <v>56</v>
      </c>
      <c r="E12" s="43">
        <v>2000</v>
      </c>
      <c r="F12" s="11"/>
      <c r="G12" s="12"/>
      <c r="H12" s="246"/>
      <c r="I12" s="18" t="s">
        <v>94</v>
      </c>
      <c r="J12" s="31">
        <v>333</v>
      </c>
      <c r="K12" s="32"/>
      <c r="L12" s="4"/>
      <c r="M12" s="33"/>
      <c r="N12" s="18"/>
      <c r="O12" s="18"/>
      <c r="P12" s="34" t="s">
        <v>95</v>
      </c>
      <c r="Q12" s="18">
        <v>43</v>
      </c>
      <c r="R12" s="30"/>
      <c r="S12" s="33"/>
      <c r="T12" s="4" t="s">
        <v>96</v>
      </c>
      <c r="U12" s="18">
        <v>4.2</v>
      </c>
      <c r="V12" s="35"/>
      <c r="W12" s="18"/>
      <c r="X12" s="36"/>
      <c r="Y12" s="17"/>
      <c r="Z12" s="18"/>
      <c r="AA12" s="4"/>
    </row>
    <row r="13" spans="3:29" ht="16.5">
      <c r="C13" s="5"/>
      <c r="D13" s="42" t="s">
        <v>61</v>
      </c>
      <c r="E13" s="17">
        <v>0</v>
      </c>
      <c r="F13" s="44"/>
      <c r="G13" s="39"/>
      <c r="H13" s="246"/>
      <c r="I13" s="18" t="s">
        <v>38</v>
      </c>
      <c r="J13" s="46">
        <v>25</v>
      </c>
      <c r="K13" s="47"/>
      <c r="L13" s="4"/>
      <c r="M13" s="33"/>
      <c r="N13" s="18"/>
      <c r="O13" s="18"/>
      <c r="P13" s="34"/>
      <c r="Q13" s="18">
        <v>2.6</v>
      </c>
      <c r="R13" s="30"/>
      <c r="S13" s="33"/>
      <c r="T13" s="4"/>
      <c r="U13" s="18"/>
      <c r="V13" s="35"/>
      <c r="W13" s="18"/>
      <c r="X13" s="36"/>
      <c r="Y13" s="17"/>
      <c r="Z13" s="18"/>
      <c r="AA13" s="4"/>
      <c r="AB13" s="4"/>
      <c r="AC13" s="4"/>
    </row>
    <row r="14" spans="3:29" ht="16.5">
      <c r="C14" s="5"/>
      <c r="D14" s="48" t="s">
        <v>20</v>
      </c>
      <c r="E14" s="49">
        <f>SUM(E12:E13)</f>
        <v>2000</v>
      </c>
      <c r="F14" s="50"/>
      <c r="G14" s="39"/>
      <c r="H14" s="45"/>
      <c r="I14" s="18" t="s">
        <v>97</v>
      </c>
      <c r="J14" s="46">
        <v>359.57</v>
      </c>
      <c r="K14" s="47"/>
      <c r="L14" s="4"/>
      <c r="M14" s="33"/>
      <c r="N14" s="18"/>
      <c r="O14" s="18"/>
      <c r="P14" s="34"/>
      <c r="Q14" s="18"/>
      <c r="R14" s="30"/>
      <c r="S14" s="33"/>
      <c r="T14" s="4"/>
      <c r="U14" s="18"/>
      <c r="V14" s="35"/>
      <c r="W14" s="18"/>
      <c r="X14" s="36"/>
      <c r="Y14" s="17"/>
      <c r="Z14" s="18"/>
      <c r="AA14" s="4"/>
      <c r="AB14" s="4"/>
      <c r="AC14" s="4"/>
    </row>
    <row r="15" spans="3:29" ht="16.5">
      <c r="C15" s="5"/>
      <c r="D15" s="2"/>
      <c r="E15" s="2"/>
      <c r="F15" s="44"/>
      <c r="G15" s="39"/>
      <c r="H15" s="45"/>
      <c r="I15" s="39" t="s">
        <v>68</v>
      </c>
      <c r="J15" s="46">
        <v>70</v>
      </c>
      <c r="K15" s="47"/>
      <c r="L15" s="4"/>
      <c r="M15" s="33"/>
      <c r="N15" s="18"/>
      <c r="O15" s="18"/>
      <c r="P15" s="34"/>
      <c r="Q15" s="18"/>
      <c r="R15" s="30"/>
      <c r="S15" s="33"/>
      <c r="T15" s="4"/>
      <c r="U15" s="18"/>
      <c r="V15" s="35"/>
      <c r="W15" s="18"/>
      <c r="X15" s="36"/>
      <c r="Y15" s="17"/>
      <c r="Z15" s="18"/>
      <c r="AA15" s="4"/>
      <c r="AB15" s="4"/>
      <c r="AC15" s="4"/>
    </row>
    <row r="16" spans="3:29" ht="16.5">
      <c r="C16" s="102"/>
      <c r="D16" s="103"/>
      <c r="E16" s="103"/>
      <c r="F16" s="104"/>
      <c r="G16" s="39"/>
      <c r="H16" s="45"/>
      <c r="I16" s="18" t="s">
        <v>98</v>
      </c>
      <c r="J16" s="31">
        <v>343</v>
      </c>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51" t="s">
        <v>68</v>
      </c>
      <c r="J17" s="31">
        <v>20</v>
      </c>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t="s">
        <v>99</v>
      </c>
      <c r="J18" s="46">
        <v>27</v>
      </c>
      <c r="K18" s="47"/>
      <c r="L18" s="4"/>
      <c r="M18" s="33"/>
      <c r="N18" s="18"/>
      <c r="O18" s="18"/>
      <c r="P18" s="34"/>
      <c r="Q18" s="18"/>
      <c r="R18" s="30"/>
      <c r="S18" s="33"/>
      <c r="T18" s="4"/>
      <c r="U18" s="18"/>
      <c r="V18" s="35"/>
      <c r="W18" s="46"/>
      <c r="X18" s="55"/>
      <c r="Y18" s="56"/>
      <c r="Z18" s="46"/>
      <c r="AA18" s="4"/>
      <c r="AB18" s="4"/>
      <c r="AC18" s="4"/>
    </row>
    <row r="19" spans="3:29" ht="16.5">
      <c r="C19" s="98"/>
      <c r="D19" s="110"/>
      <c r="E19" s="105"/>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F24" s="99"/>
      <c r="G24" s="39"/>
      <c r="H24" s="45"/>
      <c r="I24" s="59" t="s">
        <v>20</v>
      </c>
      <c r="J24" s="60">
        <f>SUM(J7:J23)</f>
        <v>1931.18</v>
      </c>
      <c r="K24" s="58"/>
      <c r="L24" s="4"/>
      <c r="M24" s="33"/>
      <c r="N24" s="18"/>
      <c r="O24" s="18"/>
      <c r="P24" s="34"/>
      <c r="Q24" s="18"/>
      <c r="R24" s="30"/>
      <c r="S24" s="33"/>
      <c r="T24" s="4"/>
      <c r="U24" s="18"/>
      <c r="V24" s="35"/>
      <c r="W24" s="18"/>
      <c r="X24" s="36"/>
      <c r="Y24" s="17"/>
      <c r="Z24" s="18"/>
      <c r="AA24" s="4"/>
      <c r="AB24" s="4"/>
      <c r="AC24" s="4"/>
    </row>
    <row r="25" spans="3:29" ht="16.5">
      <c r="C25" s="98"/>
      <c r="D25" s="111"/>
      <c r="F25" s="98"/>
      <c r="G25" s="4"/>
      <c r="H25" s="40"/>
      <c r="I25" s="4" t="s">
        <v>69</v>
      </c>
      <c r="J25" s="31">
        <v>0</v>
      </c>
      <c r="K25" s="58"/>
      <c r="L25" s="4"/>
      <c r="M25" s="33"/>
      <c r="N25" s="18"/>
      <c r="O25" s="18"/>
      <c r="P25" s="34"/>
      <c r="Q25" s="18"/>
      <c r="R25" s="30"/>
      <c r="S25" s="33"/>
      <c r="T25" s="4"/>
      <c r="U25" s="18"/>
      <c r="V25" s="35" t="s">
        <v>70</v>
      </c>
      <c r="W25" s="18">
        <v>8</v>
      </c>
      <c r="X25" s="36"/>
      <c r="Y25" s="17"/>
      <c r="Z25" s="18"/>
      <c r="AA25" s="4"/>
      <c r="AB25" s="18"/>
      <c r="AC25" s="4"/>
    </row>
    <row r="26" spans="3:29" ht="16.5">
      <c r="C26" s="98"/>
      <c r="F26" s="98"/>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D27" s="71"/>
      <c r="E27" s="71"/>
      <c r="F27" s="98"/>
      <c r="G27" s="4"/>
      <c r="H27" s="40"/>
      <c r="I27" s="65" t="s">
        <v>11</v>
      </c>
      <c r="J27" s="66">
        <f>X30</f>
        <v>43.99</v>
      </c>
      <c r="K27" s="32"/>
      <c r="L27" s="4"/>
      <c r="M27" s="33"/>
      <c r="N27" s="18"/>
      <c r="O27" s="18"/>
      <c r="P27" s="34"/>
      <c r="Q27" s="18"/>
      <c r="R27" s="30"/>
      <c r="S27" s="33"/>
      <c r="T27" s="4"/>
      <c r="U27" s="18"/>
      <c r="V27" s="35"/>
      <c r="W27" s="18"/>
      <c r="X27" s="36"/>
      <c r="Y27" s="17"/>
      <c r="Z27" s="18"/>
      <c r="AA27" s="4"/>
      <c r="AB27" s="4"/>
      <c r="AC27" s="4"/>
    </row>
    <row r="28" spans="3:29" ht="16.5">
      <c r="C28" s="98"/>
      <c r="D28" s="97"/>
      <c r="E28" s="46"/>
      <c r="F28" s="98"/>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108"/>
      <c r="E29" s="97"/>
      <c r="F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1887.19</v>
      </c>
      <c r="K30" s="260">
        <f>SUM(M7:M29)</f>
        <v>613.5</v>
      </c>
      <c r="L30" s="261"/>
      <c r="M30" s="262"/>
      <c r="N30" s="258">
        <f>SUM(O7:O29)</f>
        <v>60.9</v>
      </c>
      <c r="O30" s="259"/>
      <c r="P30" s="243">
        <f>SUM(Q7:Q29)</f>
        <v>131.97</v>
      </c>
      <c r="Q30" s="244"/>
      <c r="R30" s="241">
        <f>SUM(S7:S29)</f>
        <v>54.5</v>
      </c>
      <c r="S30" s="242"/>
      <c r="T30" s="239">
        <f>SUM(U7:U29)</f>
        <v>324.92</v>
      </c>
      <c r="U30" s="240"/>
      <c r="V30" s="237">
        <f>SUM(W7:W29)</f>
        <v>283</v>
      </c>
      <c r="W30" s="238"/>
      <c r="X30" s="233">
        <f>SUM(Y7:Y29)</f>
        <v>43.99</v>
      </c>
      <c r="Y30" s="234"/>
      <c r="Z30" s="18"/>
      <c r="AA30" s="4"/>
    </row>
    <row r="31" spans="3:29" ht="16.5">
      <c r="C31" s="98"/>
      <c r="D31" s="97"/>
      <c r="E31" s="97"/>
      <c r="F31" s="98"/>
      <c r="G31" s="4"/>
      <c r="H31" s="256" t="s">
        <v>29</v>
      </c>
      <c r="I31" s="257"/>
      <c r="J31" s="62">
        <f>J30-K32</f>
        <v>418.40000000000009</v>
      </c>
      <c r="K31" s="253">
        <f>SUM(K30:Q30)</f>
        <v>806.37</v>
      </c>
      <c r="L31" s="254"/>
      <c r="M31" s="254"/>
      <c r="N31" s="254"/>
      <c r="O31" s="254"/>
      <c r="P31" s="254"/>
      <c r="Q31" s="255"/>
      <c r="R31" s="250">
        <f>R30+T30+V30</f>
        <v>662.42000000000007</v>
      </c>
      <c r="S31" s="251"/>
      <c r="T31" s="251"/>
      <c r="U31" s="251"/>
      <c r="V31" s="251"/>
      <c r="W31" s="252"/>
      <c r="X31" s="233"/>
      <c r="Y31" s="234"/>
      <c r="Z31" s="18"/>
      <c r="AA31" s="4"/>
    </row>
    <row r="32" spans="3:29" ht="18.75">
      <c r="C32" s="98"/>
      <c r="D32" s="97"/>
      <c r="E32" s="97"/>
      <c r="F32" s="98"/>
      <c r="G32" s="4"/>
      <c r="H32" s="4"/>
      <c r="I32" s="18"/>
      <c r="J32" s="31"/>
      <c r="K32" s="247">
        <f>K31+R31</f>
        <v>1468.79</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c r="L35" s="64"/>
    </row>
    <row r="36" spans="3:27">
      <c r="C36" s="72"/>
      <c r="D36" s="97"/>
      <c r="E36" s="97"/>
      <c r="F36" s="72"/>
      <c r="P36" s="64"/>
    </row>
    <row r="37" spans="3:27">
      <c r="C37" s="72"/>
      <c r="D37" s="97"/>
      <c r="E37" s="97"/>
      <c r="F37" s="72"/>
      <c r="I37" s="64"/>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V30:W30"/>
    <mergeCell ref="X30:Y32"/>
    <mergeCell ref="H31:I31"/>
    <mergeCell ref="K31:Q31"/>
    <mergeCell ref="R31:W31"/>
    <mergeCell ref="K32:W32"/>
    <mergeCell ref="H30:I30"/>
    <mergeCell ref="K30:M30"/>
    <mergeCell ref="N30:O30"/>
    <mergeCell ref="P30:Q30"/>
    <mergeCell ref="R30:S30"/>
    <mergeCell ref="H8:H9"/>
    <mergeCell ref="H10:H11"/>
    <mergeCell ref="D11:E11"/>
    <mergeCell ref="H12:H13"/>
    <mergeCell ref="T30:U30"/>
    <mergeCell ref="D4:E4"/>
    <mergeCell ref="H4:Y4"/>
    <mergeCell ref="AB4:AC4"/>
    <mergeCell ref="H5:J5"/>
    <mergeCell ref="K5:M5"/>
    <mergeCell ref="N5:O5"/>
    <mergeCell ref="P5:Q5"/>
    <mergeCell ref="R5:S5"/>
    <mergeCell ref="T5:U5"/>
    <mergeCell ref="V5:W5"/>
    <mergeCell ref="X5:Y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E5BE-CB1A-4A71-9CDF-73D0BF7B6F77}">
  <sheetPr>
    <tabColor theme="5" tint="0.79998168889431442"/>
  </sheetPr>
  <dimension ref="C3:AC44"/>
  <sheetViews>
    <sheetView topLeftCell="E1" workbookViewId="0">
      <selection activeCell="N27" sqref="N27"/>
    </sheetView>
  </sheetViews>
  <sheetFormatPr defaultRowHeight="15"/>
  <cols>
    <col min="4" max="4" width="26" customWidth="1"/>
    <col min="5" max="5" width="16.42578125"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100</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914.44</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578.98</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1493.42</v>
      </c>
      <c r="F7" s="17"/>
      <c r="G7" s="18"/>
      <c r="H7" s="30"/>
      <c r="I7" s="18" t="s">
        <v>21</v>
      </c>
      <c r="J7" s="31">
        <v>418.4</v>
      </c>
      <c r="K7" s="32"/>
      <c r="L7" s="4" t="s">
        <v>22</v>
      </c>
      <c r="M7" s="33">
        <v>500</v>
      </c>
      <c r="N7" s="4"/>
      <c r="O7" s="33"/>
      <c r="P7" s="34" t="s">
        <v>101</v>
      </c>
      <c r="Q7" s="18">
        <v>30.59</v>
      </c>
      <c r="R7" s="30" t="s">
        <v>102</v>
      </c>
      <c r="S7" s="33">
        <v>25</v>
      </c>
      <c r="T7" s="4" t="s">
        <v>103</v>
      </c>
      <c r="U7" s="18">
        <v>10</v>
      </c>
      <c r="V7" s="35" t="s">
        <v>104</v>
      </c>
      <c r="W7" s="18">
        <v>10</v>
      </c>
      <c r="X7" s="36" t="s">
        <v>27</v>
      </c>
      <c r="Y7" s="17">
        <v>35</v>
      </c>
      <c r="Z7" s="18"/>
      <c r="AA7" s="4"/>
      <c r="AB7" s="13" t="s">
        <v>7</v>
      </c>
      <c r="AC7" s="14" t="s">
        <v>28</v>
      </c>
    </row>
    <row r="8" spans="3:29" ht="16.5">
      <c r="C8" s="5"/>
      <c r="D8" s="37" t="s">
        <v>29</v>
      </c>
      <c r="E8" s="38">
        <f>J31</f>
        <v>292.94000000000005</v>
      </c>
      <c r="F8" s="17"/>
      <c r="G8" s="18"/>
      <c r="H8" s="245" t="s">
        <v>30</v>
      </c>
      <c r="I8" s="18" t="s">
        <v>105</v>
      </c>
      <c r="J8" s="63">
        <v>262.64999999999998</v>
      </c>
      <c r="K8" s="32" t="s">
        <v>106</v>
      </c>
      <c r="L8" s="4" t="s">
        <v>32</v>
      </c>
      <c r="M8" s="33">
        <v>50</v>
      </c>
      <c r="N8" s="4"/>
      <c r="O8" s="18"/>
      <c r="P8" s="34"/>
      <c r="Q8" s="18">
        <v>6</v>
      </c>
      <c r="R8" s="30" t="s">
        <v>107</v>
      </c>
      <c r="S8" s="33">
        <v>12</v>
      </c>
      <c r="T8" s="4" t="s">
        <v>108</v>
      </c>
      <c r="U8" s="18">
        <v>26</v>
      </c>
      <c r="V8" s="35" t="s">
        <v>109</v>
      </c>
      <c r="W8" s="18">
        <v>5</v>
      </c>
      <c r="X8" s="36" t="s">
        <v>36</v>
      </c>
      <c r="Y8" s="17">
        <v>8.61</v>
      </c>
      <c r="Z8" s="18"/>
      <c r="AA8" s="4"/>
      <c r="AB8" s="67" t="s">
        <v>8</v>
      </c>
      <c r="AC8" s="68" t="s">
        <v>37</v>
      </c>
    </row>
    <row r="9" spans="3:29" ht="16.5">
      <c r="C9" s="5"/>
      <c r="D9" s="4"/>
      <c r="E9" s="39"/>
      <c r="F9" s="17"/>
      <c r="G9" s="18"/>
      <c r="H9" s="245"/>
      <c r="I9" s="18" t="s">
        <v>38</v>
      </c>
      <c r="J9" s="31">
        <v>35</v>
      </c>
      <c r="K9" s="32"/>
      <c r="L9" s="4" t="s">
        <v>39</v>
      </c>
      <c r="M9" s="33">
        <v>11.5</v>
      </c>
      <c r="N9" s="18"/>
      <c r="O9" s="18"/>
      <c r="P9" s="34"/>
      <c r="Q9" s="18">
        <v>4.5</v>
      </c>
      <c r="R9" s="30" t="s">
        <v>110</v>
      </c>
      <c r="S9" s="33">
        <v>25</v>
      </c>
      <c r="T9" s="4" t="s">
        <v>111</v>
      </c>
      <c r="U9" s="18">
        <v>45</v>
      </c>
      <c r="V9" s="35" t="s">
        <v>112</v>
      </c>
      <c r="W9" s="18">
        <v>9</v>
      </c>
      <c r="X9" s="36"/>
      <c r="Y9" s="17"/>
      <c r="Z9" s="18"/>
      <c r="AA9" s="4"/>
      <c r="AB9" s="67" t="s">
        <v>42</v>
      </c>
      <c r="AC9" s="68" t="s">
        <v>43</v>
      </c>
    </row>
    <row r="10" spans="3:29" ht="16.5">
      <c r="C10" s="5"/>
      <c r="D10" s="4"/>
      <c r="E10" s="18"/>
      <c r="F10" s="17"/>
      <c r="G10" s="18"/>
      <c r="H10" s="246" t="s">
        <v>30</v>
      </c>
      <c r="I10" s="18" t="s">
        <v>113</v>
      </c>
      <c r="J10" s="31">
        <v>320</v>
      </c>
      <c r="K10" s="32"/>
      <c r="L10" s="4" t="s">
        <v>45</v>
      </c>
      <c r="M10" s="33"/>
      <c r="N10" s="18"/>
      <c r="O10" s="18"/>
      <c r="P10" s="34"/>
      <c r="Q10" s="41">
        <v>2.85</v>
      </c>
      <c r="R10" s="18" t="s">
        <v>114</v>
      </c>
      <c r="S10" s="33">
        <v>10</v>
      </c>
      <c r="T10" s="4" t="s">
        <v>115</v>
      </c>
      <c r="U10" s="18">
        <v>14</v>
      </c>
      <c r="V10" s="35" t="s">
        <v>116</v>
      </c>
      <c r="W10" s="18">
        <v>80</v>
      </c>
      <c r="X10" s="36"/>
      <c r="Y10" s="17"/>
      <c r="Z10" s="18"/>
      <c r="AA10" s="4"/>
      <c r="AB10" s="67" t="s">
        <v>10</v>
      </c>
      <c r="AC10" s="68" t="s">
        <v>49</v>
      </c>
    </row>
    <row r="11" spans="3:29" ht="16.5">
      <c r="C11" s="5"/>
      <c r="D11" s="231" t="s">
        <v>50</v>
      </c>
      <c r="E11" s="232"/>
      <c r="F11" s="17"/>
      <c r="G11" s="18"/>
      <c r="H11" s="246"/>
      <c r="I11" s="18" t="s">
        <v>38</v>
      </c>
      <c r="J11" s="31">
        <v>30</v>
      </c>
      <c r="K11" s="32"/>
      <c r="L11" s="4"/>
      <c r="M11" s="33"/>
      <c r="N11" s="18"/>
      <c r="O11" s="18"/>
      <c r="P11" s="34"/>
      <c r="Q11" s="41">
        <v>25</v>
      </c>
      <c r="R11" s="18" t="s">
        <v>117</v>
      </c>
      <c r="S11" s="33">
        <v>31</v>
      </c>
      <c r="T11" s="4" t="s">
        <v>115</v>
      </c>
      <c r="U11" s="18">
        <v>15</v>
      </c>
      <c r="V11" s="35"/>
      <c r="W11" s="18"/>
      <c r="X11" s="36"/>
      <c r="Y11" s="17"/>
      <c r="Z11" s="18"/>
      <c r="AA11" s="4"/>
      <c r="AB11" s="69" t="s">
        <v>54</v>
      </c>
      <c r="AC11" s="70" t="s">
        <v>55</v>
      </c>
    </row>
    <row r="12" spans="3:29" ht="16.5">
      <c r="C12" s="5"/>
      <c r="D12" s="42" t="s">
        <v>56</v>
      </c>
      <c r="E12" s="43">
        <v>2000</v>
      </c>
      <c r="F12" s="11"/>
      <c r="G12" s="12"/>
      <c r="H12" s="246" t="s">
        <v>30</v>
      </c>
      <c r="I12" s="18" t="s">
        <v>118</v>
      </c>
      <c r="J12" s="31">
        <v>386.92</v>
      </c>
      <c r="K12" s="32"/>
      <c r="L12" s="4" t="s">
        <v>119</v>
      </c>
      <c r="M12" s="33">
        <v>83</v>
      </c>
      <c r="N12" s="18"/>
      <c r="O12" s="18"/>
      <c r="P12" s="34"/>
      <c r="Q12" s="18">
        <v>51</v>
      </c>
      <c r="R12" s="30" t="s">
        <v>120</v>
      </c>
      <c r="S12" s="33">
        <v>32</v>
      </c>
      <c r="T12" s="4" t="s">
        <v>121</v>
      </c>
      <c r="U12" s="18">
        <v>11.98</v>
      </c>
      <c r="V12" s="35"/>
      <c r="W12" s="18"/>
      <c r="X12" s="36"/>
      <c r="Y12" s="17"/>
      <c r="Z12" s="18"/>
      <c r="AA12" s="4"/>
    </row>
    <row r="13" spans="3:29" ht="16.5">
      <c r="C13" s="5"/>
      <c r="D13" s="42" t="s">
        <v>61</v>
      </c>
      <c r="E13" s="17">
        <v>0</v>
      </c>
      <c r="F13" s="44"/>
      <c r="G13" s="39"/>
      <c r="H13" s="246"/>
      <c r="I13" s="18" t="s">
        <v>38</v>
      </c>
      <c r="J13" s="46">
        <v>30</v>
      </c>
      <c r="K13" s="47"/>
      <c r="L13" s="4" t="s">
        <v>122</v>
      </c>
      <c r="M13" s="33">
        <v>80</v>
      </c>
      <c r="N13" s="18"/>
      <c r="O13" s="18"/>
      <c r="P13" s="34"/>
      <c r="Q13" s="18">
        <v>4.5</v>
      </c>
      <c r="R13" s="30"/>
      <c r="S13" s="33"/>
      <c r="T13" s="4" t="s">
        <v>123</v>
      </c>
      <c r="U13" s="18">
        <v>6</v>
      </c>
      <c r="V13" s="35"/>
      <c r="W13" s="18"/>
      <c r="X13" s="36"/>
      <c r="Y13" s="17"/>
      <c r="Z13" s="18"/>
      <c r="AA13" s="4"/>
      <c r="AB13" s="4"/>
      <c r="AC13" s="4"/>
    </row>
    <row r="14" spans="3:29" ht="16.5">
      <c r="C14" s="5"/>
      <c r="D14" s="48" t="s">
        <v>20</v>
      </c>
      <c r="E14" s="49">
        <f>SUM(E12:E13)</f>
        <v>2000</v>
      </c>
      <c r="F14" s="50"/>
      <c r="G14" s="39"/>
      <c r="H14" s="45"/>
      <c r="I14" s="18" t="s">
        <v>124</v>
      </c>
      <c r="J14" s="46">
        <v>347</v>
      </c>
      <c r="K14" s="47"/>
      <c r="L14" s="4"/>
      <c r="M14" s="33"/>
      <c r="N14" s="18"/>
      <c r="O14" s="18"/>
      <c r="P14" s="34"/>
      <c r="Q14" s="18">
        <v>65.5</v>
      </c>
      <c r="R14" s="30"/>
      <c r="S14" s="33"/>
      <c r="T14" s="4" t="s">
        <v>125</v>
      </c>
      <c r="U14" s="18">
        <v>45</v>
      </c>
      <c r="V14" s="35"/>
      <c r="W14" s="18"/>
      <c r="X14" s="36"/>
      <c r="Y14" s="17"/>
      <c r="Z14" s="18"/>
      <c r="AA14" s="4"/>
      <c r="AB14" s="4"/>
      <c r="AC14" s="4"/>
    </row>
    <row r="15" spans="3:29" ht="16.5">
      <c r="C15" s="5"/>
      <c r="D15" s="2"/>
      <c r="E15" s="2"/>
      <c r="F15" s="44"/>
      <c r="G15" s="39"/>
      <c r="H15" s="45"/>
      <c r="I15" s="18" t="s">
        <v>38</v>
      </c>
      <c r="J15" s="46"/>
      <c r="K15" s="47"/>
      <c r="L15" s="4"/>
      <c r="M15" s="33"/>
      <c r="N15" s="18"/>
      <c r="O15" s="18"/>
      <c r="P15" s="34"/>
      <c r="Q15" s="18"/>
      <c r="R15" s="30"/>
      <c r="S15" s="33"/>
      <c r="T15" s="4" t="s">
        <v>126</v>
      </c>
      <c r="U15" s="18">
        <v>120</v>
      </c>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t="s">
        <v>127</v>
      </c>
      <c r="U16" s="18">
        <v>37</v>
      </c>
      <c r="V16" s="35"/>
      <c r="W16" s="18"/>
      <c r="X16" s="36"/>
      <c r="Y16" s="17"/>
      <c r="Z16" s="18"/>
      <c r="AA16" s="4"/>
      <c r="AB16" s="4"/>
      <c r="AC16" s="4"/>
    </row>
    <row r="17" spans="3:29" ht="16.5">
      <c r="C17" s="98"/>
      <c r="D17" s="71"/>
      <c r="E17" s="71"/>
      <c r="F17" s="100"/>
      <c r="G17" s="18"/>
      <c r="H17" s="30"/>
      <c r="I17" s="51"/>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D19" s="4"/>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D20" s="71"/>
      <c r="E20" s="71"/>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71"/>
      <c r="E21" s="71"/>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98"/>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98"/>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F24" s="71"/>
      <c r="G24" s="39"/>
      <c r="H24" s="45"/>
      <c r="I24" s="59" t="s">
        <v>20</v>
      </c>
      <c r="J24" s="60">
        <f>SUM(J7:J23)</f>
        <v>1829.97</v>
      </c>
      <c r="K24" s="58"/>
      <c r="L24" s="4"/>
      <c r="M24" s="33"/>
      <c r="N24" s="18"/>
      <c r="O24" s="18"/>
      <c r="P24" s="34"/>
      <c r="Q24" s="18"/>
      <c r="R24" s="30"/>
      <c r="S24" s="33"/>
      <c r="T24" s="4"/>
      <c r="U24" s="18"/>
      <c r="V24" s="35"/>
      <c r="W24" s="18"/>
      <c r="X24" s="36"/>
      <c r="Y24" s="17"/>
      <c r="Z24" s="18"/>
      <c r="AA24" s="4"/>
      <c r="AB24" s="4"/>
      <c r="AC24" s="4"/>
    </row>
    <row r="25" spans="3:29" ht="16.5">
      <c r="C25" s="98"/>
      <c r="G25" s="4"/>
      <c r="H25" s="40"/>
      <c r="I25" s="4" t="s">
        <v>69</v>
      </c>
      <c r="J25" s="31">
        <v>0</v>
      </c>
      <c r="K25" s="58"/>
      <c r="L25" s="4"/>
      <c r="M25" s="33"/>
      <c r="N25" s="18"/>
      <c r="O25" s="18"/>
      <c r="P25" s="34"/>
      <c r="Q25" s="18"/>
      <c r="R25" s="30"/>
      <c r="S25" s="33"/>
      <c r="T25" s="4"/>
      <c r="U25" s="18"/>
      <c r="V25" s="35" t="s">
        <v>70</v>
      </c>
      <c r="W25" s="18">
        <v>10</v>
      </c>
      <c r="X25" s="36"/>
      <c r="Y25" s="17"/>
      <c r="Z25" s="18"/>
      <c r="AA25" s="4"/>
      <c r="AB25" s="18"/>
      <c r="AC25" s="4"/>
    </row>
    <row r="26" spans="3:29" ht="18">
      <c r="C26" s="98"/>
      <c r="F26" s="116"/>
      <c r="G26" s="4"/>
      <c r="H26" s="40"/>
      <c r="I26" s="4" t="s">
        <v>71</v>
      </c>
      <c r="J26" s="31">
        <v>0</v>
      </c>
      <c r="K26" s="32"/>
      <c r="L26" s="4"/>
      <c r="M26" s="33"/>
      <c r="N26" s="18"/>
      <c r="O26" s="18"/>
      <c r="P26" s="34"/>
      <c r="Q26" s="18"/>
      <c r="R26" s="30"/>
      <c r="S26" s="33"/>
      <c r="T26" s="4"/>
      <c r="U26" s="18"/>
      <c r="V26" s="35"/>
      <c r="W26" s="18"/>
      <c r="X26" s="36"/>
      <c r="Y26" s="17"/>
      <c r="Z26" s="18"/>
      <c r="AA26" s="4"/>
      <c r="AB26" s="4"/>
      <c r="AC26" s="4"/>
    </row>
    <row r="27" spans="3:29" ht="16.5">
      <c r="C27" s="98"/>
      <c r="G27" s="4"/>
      <c r="H27" s="40"/>
      <c r="I27" s="65" t="s">
        <v>11</v>
      </c>
      <c r="J27" s="66">
        <f>X30</f>
        <v>43.61</v>
      </c>
      <c r="K27" s="32"/>
      <c r="L27" s="4"/>
      <c r="M27" s="33"/>
      <c r="N27" s="18"/>
      <c r="O27" s="18"/>
      <c r="P27" s="34"/>
      <c r="Q27" s="18"/>
      <c r="R27" s="30"/>
      <c r="S27" s="33"/>
      <c r="T27" s="4"/>
      <c r="U27" s="18"/>
      <c r="V27" s="35"/>
      <c r="W27" s="18"/>
      <c r="X27" s="36"/>
      <c r="Y27" s="17"/>
      <c r="Z27" s="18"/>
      <c r="AA27" s="4"/>
      <c r="AB27" s="4"/>
      <c r="AC27" s="4"/>
    </row>
    <row r="28" spans="3:29" ht="16.5">
      <c r="C28" s="98"/>
      <c r="D28" s="98"/>
      <c r="E28" t="s">
        <v>128</v>
      </c>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1786.3600000000001</v>
      </c>
      <c r="K30" s="260">
        <f>SUM(M7:M29)</f>
        <v>724.5</v>
      </c>
      <c r="L30" s="261"/>
      <c r="M30" s="262"/>
      <c r="N30" s="258">
        <f>SUM(O7:O29)</f>
        <v>0</v>
      </c>
      <c r="O30" s="259"/>
      <c r="P30" s="243">
        <f>SUM(Q7:Q29)</f>
        <v>189.94</v>
      </c>
      <c r="Q30" s="244"/>
      <c r="R30" s="241">
        <f>SUM(S7:S29)</f>
        <v>135</v>
      </c>
      <c r="S30" s="242"/>
      <c r="T30" s="239">
        <f>SUM(U7:U29)</f>
        <v>329.98</v>
      </c>
      <c r="U30" s="240"/>
      <c r="V30" s="237">
        <f>SUM(W7:W29)</f>
        <v>114</v>
      </c>
      <c r="W30" s="238"/>
      <c r="X30" s="233">
        <f>SUM(Y7:Y29)</f>
        <v>43.61</v>
      </c>
      <c r="Y30" s="234"/>
      <c r="Z30" s="18"/>
      <c r="AA30" s="4"/>
    </row>
    <row r="31" spans="3:29" ht="16.5">
      <c r="C31" s="98"/>
      <c r="D31" s="97"/>
      <c r="E31" s="97"/>
      <c r="F31" s="98"/>
      <c r="G31" s="4"/>
      <c r="H31" s="256" t="s">
        <v>29</v>
      </c>
      <c r="I31" s="257"/>
      <c r="J31" s="62">
        <f>J30-K32</f>
        <v>292.94000000000005</v>
      </c>
      <c r="K31" s="253">
        <f>SUM(K30:Q30)</f>
        <v>914.44</v>
      </c>
      <c r="L31" s="254"/>
      <c r="M31" s="254"/>
      <c r="N31" s="254"/>
      <c r="O31" s="254"/>
      <c r="P31" s="254"/>
      <c r="Q31" s="255"/>
      <c r="R31" s="250">
        <f>R30+T30+V30</f>
        <v>578.98</v>
      </c>
      <c r="S31" s="251"/>
      <c r="T31" s="251"/>
      <c r="U31" s="251"/>
      <c r="V31" s="251"/>
      <c r="W31" s="252"/>
      <c r="X31" s="233"/>
      <c r="Y31" s="234"/>
      <c r="Z31" s="18"/>
      <c r="AA31" s="4"/>
    </row>
    <row r="32" spans="3:29" ht="18.75">
      <c r="C32" s="98"/>
      <c r="E32" s="97"/>
      <c r="F32" s="97"/>
      <c r="G32" s="98"/>
      <c r="H32" s="4"/>
      <c r="I32" s="18"/>
      <c r="J32" s="31"/>
      <c r="K32" s="247">
        <f>K31+R31</f>
        <v>1493.42</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c r="P37" s="64"/>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V30:W30"/>
    <mergeCell ref="X30:Y32"/>
    <mergeCell ref="H31:I31"/>
    <mergeCell ref="K31:Q31"/>
    <mergeCell ref="R31:W31"/>
    <mergeCell ref="K32:W32"/>
    <mergeCell ref="H30:I30"/>
    <mergeCell ref="K30:M30"/>
    <mergeCell ref="N30:O30"/>
    <mergeCell ref="P30:Q30"/>
    <mergeCell ref="R30:S30"/>
    <mergeCell ref="H8:H9"/>
    <mergeCell ref="H10:H11"/>
    <mergeCell ref="D11:E11"/>
    <mergeCell ref="H12:H13"/>
    <mergeCell ref="T30:U30"/>
    <mergeCell ref="D4:E4"/>
    <mergeCell ref="H4:Y4"/>
    <mergeCell ref="AB4:AC4"/>
    <mergeCell ref="H5:J5"/>
    <mergeCell ref="K5:M5"/>
    <mergeCell ref="N5:O5"/>
    <mergeCell ref="P5:Q5"/>
    <mergeCell ref="R5:S5"/>
    <mergeCell ref="T5:U5"/>
    <mergeCell ref="V5:W5"/>
    <mergeCell ref="X5:Y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EBB40-7CFD-4FE4-BE09-46A527EA318D}">
  <sheetPr>
    <tabColor theme="5" tint="0.79998168889431442"/>
  </sheetPr>
  <dimension ref="C3:AC44"/>
  <sheetViews>
    <sheetView topLeftCell="E3" workbookViewId="0">
      <selection activeCell="J16" sqref="J16"/>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129</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1313.18</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1013.27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2326.4499999999998</v>
      </c>
      <c r="F7" s="17"/>
      <c r="G7" s="18"/>
      <c r="H7" s="30"/>
      <c r="I7" s="18" t="s">
        <v>21</v>
      </c>
      <c r="J7" s="31">
        <v>294.94</v>
      </c>
      <c r="K7" s="32"/>
      <c r="L7" s="4" t="s">
        <v>22</v>
      </c>
      <c r="M7" s="33">
        <v>500</v>
      </c>
      <c r="N7" s="4"/>
      <c r="O7" s="33"/>
      <c r="P7" s="34"/>
      <c r="Q7" s="18">
        <v>7.07</v>
      </c>
      <c r="R7" s="30" t="s">
        <v>130</v>
      </c>
      <c r="S7" s="33">
        <v>23</v>
      </c>
      <c r="T7" s="4" t="s">
        <v>131</v>
      </c>
      <c r="U7" s="18">
        <v>13.99</v>
      </c>
      <c r="V7" s="35" t="s">
        <v>132</v>
      </c>
      <c r="W7" s="18">
        <v>18</v>
      </c>
      <c r="X7" s="36" t="s">
        <v>27</v>
      </c>
      <c r="Y7" s="17">
        <v>35</v>
      </c>
      <c r="Z7" s="18"/>
      <c r="AA7" s="4"/>
      <c r="AB7" s="13" t="s">
        <v>7</v>
      </c>
      <c r="AC7" s="14" t="s">
        <v>28</v>
      </c>
    </row>
    <row r="8" spans="3:29" ht="16.5">
      <c r="C8" s="5"/>
      <c r="D8" s="37" t="s">
        <v>29</v>
      </c>
      <c r="E8" s="38">
        <f>J31</f>
        <v>225.49000000000024</v>
      </c>
      <c r="F8" s="17"/>
      <c r="G8" s="18"/>
      <c r="H8" s="245"/>
      <c r="I8" s="18" t="s">
        <v>133</v>
      </c>
      <c r="J8" s="63">
        <v>400</v>
      </c>
      <c r="K8" s="32" t="s">
        <v>134</v>
      </c>
      <c r="L8" s="4" t="s">
        <v>32</v>
      </c>
      <c r="M8" s="33">
        <v>50</v>
      </c>
      <c r="N8" s="4"/>
      <c r="O8" s="18"/>
      <c r="P8" s="34"/>
      <c r="Q8" s="18">
        <v>2.91</v>
      </c>
      <c r="R8" s="30" t="s">
        <v>135</v>
      </c>
      <c r="S8" s="33">
        <v>32.94</v>
      </c>
      <c r="T8" s="4" t="s">
        <v>136</v>
      </c>
      <c r="U8" s="18">
        <v>27</v>
      </c>
      <c r="V8" s="117" t="s">
        <v>92</v>
      </c>
      <c r="W8" s="118">
        <v>52</v>
      </c>
      <c r="X8" s="36" t="s">
        <v>36</v>
      </c>
      <c r="Y8" s="17">
        <v>9</v>
      </c>
      <c r="Z8" s="18"/>
      <c r="AA8" s="4"/>
      <c r="AB8" s="67" t="s">
        <v>8</v>
      </c>
      <c r="AC8" s="68" t="s">
        <v>37</v>
      </c>
    </row>
    <row r="9" spans="3:29" ht="16.5">
      <c r="C9" s="5"/>
      <c r="D9" s="4"/>
      <c r="E9" s="39"/>
      <c r="F9" s="17"/>
      <c r="G9" s="18"/>
      <c r="H9" s="245"/>
      <c r="I9" s="18" t="s">
        <v>38</v>
      </c>
      <c r="J9" s="31">
        <v>50</v>
      </c>
      <c r="K9" s="32"/>
      <c r="L9" s="4" t="s">
        <v>39</v>
      </c>
      <c r="M9" s="33">
        <v>33</v>
      </c>
      <c r="N9" s="18"/>
      <c r="O9" s="18"/>
      <c r="P9" s="34"/>
      <c r="Q9" s="18">
        <v>5.65</v>
      </c>
      <c r="R9" s="30" t="s">
        <v>137</v>
      </c>
      <c r="S9" s="33">
        <v>16.8</v>
      </c>
      <c r="T9" s="4" t="s">
        <v>138</v>
      </c>
      <c r="U9" s="18">
        <v>17.489999999999998</v>
      </c>
      <c r="V9" s="35" t="s">
        <v>139</v>
      </c>
      <c r="W9" s="18">
        <v>20.89</v>
      </c>
      <c r="X9" s="36"/>
      <c r="Y9" s="17"/>
      <c r="Z9" s="18"/>
      <c r="AA9" s="4"/>
      <c r="AB9" s="67" t="s">
        <v>42</v>
      </c>
      <c r="AC9" s="68" t="s">
        <v>43</v>
      </c>
    </row>
    <row r="10" spans="3:29" ht="16.5">
      <c r="C10" s="5"/>
      <c r="D10" s="4"/>
      <c r="E10" s="18"/>
      <c r="F10" s="17"/>
      <c r="G10" s="18"/>
      <c r="H10" s="246"/>
      <c r="I10" s="18" t="s">
        <v>140</v>
      </c>
      <c r="J10" s="31">
        <v>96</v>
      </c>
      <c r="K10" s="32"/>
      <c r="L10" s="4" t="s">
        <v>45</v>
      </c>
      <c r="M10" s="33">
        <v>27</v>
      </c>
      <c r="N10" s="18"/>
      <c r="O10" s="18"/>
      <c r="P10" s="34"/>
      <c r="Q10" s="41">
        <v>3.15</v>
      </c>
      <c r="R10" s="18" t="s">
        <v>137</v>
      </c>
      <c r="S10" s="33">
        <v>18</v>
      </c>
      <c r="T10" s="4" t="s">
        <v>141</v>
      </c>
      <c r="U10" s="18">
        <v>6.49</v>
      </c>
      <c r="V10" s="35" t="s">
        <v>142</v>
      </c>
      <c r="W10" s="18">
        <v>38</v>
      </c>
      <c r="X10" s="36"/>
      <c r="Y10" s="17"/>
      <c r="Z10" s="18"/>
      <c r="AA10" s="4"/>
      <c r="AB10" s="67" t="s">
        <v>10</v>
      </c>
      <c r="AC10" s="68" t="s">
        <v>49</v>
      </c>
    </row>
    <row r="11" spans="3:29" ht="16.5">
      <c r="C11" s="5"/>
      <c r="D11" s="231" t="s">
        <v>50</v>
      </c>
      <c r="E11" s="232"/>
      <c r="F11" s="17"/>
      <c r="G11" s="18"/>
      <c r="H11" s="246"/>
      <c r="I11" s="18" t="s">
        <v>38</v>
      </c>
      <c r="J11" s="31">
        <v>20</v>
      </c>
      <c r="K11" s="32"/>
      <c r="L11" s="109" t="s">
        <v>143</v>
      </c>
      <c r="M11" s="121">
        <v>430</v>
      </c>
      <c r="N11" s="18"/>
      <c r="O11" s="18"/>
      <c r="P11" s="34"/>
      <c r="Q11" s="41"/>
      <c r="R11" s="18" t="s">
        <v>137</v>
      </c>
      <c r="S11" s="33">
        <v>16</v>
      </c>
      <c r="T11" s="4"/>
      <c r="U11" s="18"/>
      <c r="V11" s="35" t="s">
        <v>144</v>
      </c>
      <c r="W11" s="18">
        <v>51.94</v>
      </c>
      <c r="X11" s="36"/>
      <c r="Y11" s="17"/>
      <c r="Z11" s="18"/>
      <c r="AA11" s="4"/>
      <c r="AB11" s="69" t="s">
        <v>54</v>
      </c>
      <c r="AC11" s="70" t="s">
        <v>55</v>
      </c>
    </row>
    <row r="12" spans="3:29" ht="16.5">
      <c r="C12" s="5"/>
      <c r="D12" s="42" t="s">
        <v>56</v>
      </c>
      <c r="E12" s="43">
        <v>2000</v>
      </c>
      <c r="F12" s="11"/>
      <c r="G12" s="12"/>
      <c r="H12" s="246"/>
      <c r="I12" s="18" t="s">
        <v>145</v>
      </c>
      <c r="J12" s="31">
        <v>366</v>
      </c>
      <c r="K12" s="32" t="s">
        <v>146</v>
      </c>
      <c r="L12" s="4" t="s">
        <v>32</v>
      </c>
      <c r="M12" s="33">
        <v>50</v>
      </c>
      <c r="N12" s="18"/>
      <c r="O12" s="18"/>
      <c r="P12" s="34" t="s">
        <v>147</v>
      </c>
      <c r="Q12" s="18">
        <v>80</v>
      </c>
      <c r="R12" s="30" t="s">
        <v>148</v>
      </c>
      <c r="S12" s="33">
        <v>50</v>
      </c>
      <c r="T12" s="4"/>
      <c r="U12" s="18"/>
      <c r="V12" s="35" t="s">
        <v>149</v>
      </c>
      <c r="W12" s="18">
        <v>13.73</v>
      </c>
      <c r="X12" s="36"/>
      <c r="Y12" s="17"/>
      <c r="Z12" s="18"/>
      <c r="AA12" s="4"/>
    </row>
    <row r="13" spans="3:29" ht="16.5">
      <c r="C13" s="5"/>
      <c r="D13" s="42" t="s">
        <v>61</v>
      </c>
      <c r="E13" s="17">
        <v>0</v>
      </c>
      <c r="F13" s="44"/>
      <c r="G13" s="39"/>
      <c r="H13" s="246"/>
      <c r="I13" s="18" t="s">
        <v>38</v>
      </c>
      <c r="J13" s="46">
        <v>12</v>
      </c>
      <c r="K13" s="47"/>
      <c r="L13" s="4"/>
      <c r="M13" s="33"/>
      <c r="N13" s="18"/>
      <c r="O13" s="18"/>
      <c r="P13" s="34" t="s">
        <v>150</v>
      </c>
      <c r="Q13" s="18">
        <v>50</v>
      </c>
      <c r="R13" s="30"/>
      <c r="S13" s="33"/>
      <c r="T13" s="4"/>
      <c r="U13" s="18"/>
      <c r="V13" s="35"/>
      <c r="W13" s="18"/>
      <c r="X13" s="36"/>
      <c r="Y13" s="17"/>
      <c r="Z13" s="18"/>
      <c r="AA13" s="4"/>
      <c r="AB13" s="4"/>
      <c r="AC13" s="4"/>
    </row>
    <row r="14" spans="3:29" ht="16.5">
      <c r="C14" s="5"/>
      <c r="D14" s="48" t="s">
        <v>20</v>
      </c>
      <c r="E14" s="49">
        <f>SUM(E12:E13)</f>
        <v>2000</v>
      </c>
      <c r="F14" s="50"/>
      <c r="G14" s="39"/>
      <c r="H14" s="45"/>
      <c r="I14" s="18" t="s">
        <v>151</v>
      </c>
      <c r="J14" s="46">
        <v>409</v>
      </c>
      <c r="K14" s="47"/>
      <c r="L14" s="4"/>
      <c r="M14" s="33"/>
      <c r="N14" s="18"/>
      <c r="O14" s="18"/>
      <c r="P14" s="34"/>
      <c r="Q14" s="18"/>
      <c r="R14" s="30"/>
      <c r="S14" s="33"/>
      <c r="T14" s="4"/>
      <c r="U14" s="18"/>
      <c r="V14" s="117" t="s">
        <v>152</v>
      </c>
      <c r="W14" s="118">
        <v>574</v>
      </c>
      <c r="X14" s="36"/>
      <c r="Y14" s="17"/>
      <c r="Z14" s="18"/>
      <c r="AA14" s="4"/>
      <c r="AB14" s="4"/>
      <c r="AC14" s="4"/>
    </row>
    <row r="15" spans="3:29" ht="16.5">
      <c r="C15" s="5"/>
      <c r="D15" s="2"/>
      <c r="E15" s="2"/>
      <c r="F15" s="44"/>
      <c r="G15" s="39"/>
      <c r="H15" s="45"/>
      <c r="I15" s="18" t="s">
        <v>38</v>
      </c>
      <c r="J15" s="46">
        <v>65</v>
      </c>
      <c r="K15" s="47"/>
      <c r="L15" s="4"/>
      <c r="M15" s="33"/>
      <c r="N15" s="18"/>
      <c r="O15" s="18"/>
      <c r="P15" s="34"/>
      <c r="Q15" s="18">
        <v>74.400000000000006</v>
      </c>
      <c r="R15" s="30"/>
      <c r="S15" s="33"/>
      <c r="T15" s="4"/>
      <c r="U15" s="18"/>
      <c r="V15" s="35"/>
      <c r="W15" s="18"/>
      <c r="X15" s="36"/>
      <c r="Y15" s="17"/>
      <c r="Z15" s="18"/>
      <c r="AA15" s="4"/>
      <c r="AB15" s="4"/>
      <c r="AC15" s="4"/>
    </row>
    <row r="16" spans="3:29" ht="16.5">
      <c r="C16" s="102"/>
      <c r="D16" s="103"/>
      <c r="E16" s="103"/>
      <c r="F16" s="104"/>
      <c r="G16" s="39"/>
      <c r="H16" s="45"/>
      <c r="I16" s="18" t="s">
        <v>153</v>
      </c>
      <c r="J16" s="31">
        <v>883</v>
      </c>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18" t="s">
        <v>38</v>
      </c>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2595.94</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0</v>
      </c>
      <c r="K25" s="58"/>
      <c r="L25" s="4"/>
      <c r="M25" s="33"/>
      <c r="N25" s="18"/>
      <c r="O25" s="18"/>
      <c r="P25" s="34"/>
      <c r="Q25" s="18"/>
      <c r="R25" s="30"/>
      <c r="S25" s="33"/>
      <c r="T25" s="4"/>
      <c r="U25" s="18"/>
      <c r="V25" s="35" t="s">
        <v>70</v>
      </c>
      <c r="W25" s="18">
        <v>23</v>
      </c>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35" t="s">
        <v>154</v>
      </c>
      <c r="W26" s="18"/>
      <c r="X26" s="36"/>
      <c r="Y26" s="17"/>
      <c r="Z26" s="18"/>
      <c r="AA26" s="4"/>
      <c r="AB26" s="4"/>
      <c r="AC26" s="4"/>
    </row>
    <row r="27" spans="3:29" ht="16.5">
      <c r="C27" s="98"/>
      <c r="D27" s="98"/>
      <c r="G27" s="4"/>
      <c r="H27" s="40"/>
      <c r="I27" s="65" t="s">
        <v>11</v>
      </c>
      <c r="J27" s="66">
        <f>X30</f>
        <v>44</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2551.94</v>
      </c>
      <c r="K30" s="260">
        <f>SUM(M7:M29)</f>
        <v>1090</v>
      </c>
      <c r="L30" s="261"/>
      <c r="M30" s="262"/>
      <c r="N30" s="258">
        <f>SUM(O7:O29)</f>
        <v>0</v>
      </c>
      <c r="O30" s="259"/>
      <c r="P30" s="243">
        <f>SUM(Q7:Q29)</f>
        <v>223.18</v>
      </c>
      <c r="Q30" s="244"/>
      <c r="R30" s="241">
        <f>SUM(S7:S29)</f>
        <v>156.74</v>
      </c>
      <c r="S30" s="242"/>
      <c r="T30" s="239">
        <f>SUM(U7:U29)</f>
        <v>64.97</v>
      </c>
      <c r="U30" s="240"/>
      <c r="V30" s="237">
        <f>SUM(W7:W29)</f>
        <v>791.56</v>
      </c>
      <c r="W30" s="238"/>
      <c r="X30" s="233">
        <f>SUM(Y7:Y29)</f>
        <v>44</v>
      </c>
      <c r="Y30" s="234"/>
      <c r="Z30" s="18"/>
      <c r="AA30" s="4"/>
    </row>
    <row r="31" spans="3:29" ht="16.5">
      <c r="C31" s="98"/>
      <c r="D31" s="97"/>
      <c r="E31" s="97"/>
      <c r="F31" s="98"/>
      <c r="G31" s="4"/>
      <c r="H31" s="256" t="s">
        <v>29</v>
      </c>
      <c r="I31" s="257"/>
      <c r="J31" s="62">
        <f>J30-K32</f>
        <v>225.49000000000024</v>
      </c>
      <c r="K31" s="253">
        <f>SUM(K30:Q30)</f>
        <v>1313.18</v>
      </c>
      <c r="L31" s="254"/>
      <c r="M31" s="254"/>
      <c r="N31" s="254"/>
      <c r="O31" s="254"/>
      <c r="P31" s="254"/>
      <c r="Q31" s="255"/>
      <c r="R31" s="250">
        <f>R30+T30+V30</f>
        <v>1013.27</v>
      </c>
      <c r="S31" s="251"/>
      <c r="T31" s="251"/>
      <c r="U31" s="251"/>
      <c r="V31" s="251"/>
      <c r="W31" s="252"/>
      <c r="X31" s="233"/>
      <c r="Y31" s="234"/>
      <c r="Z31" s="18"/>
      <c r="AA31" s="4"/>
    </row>
    <row r="32" spans="3:29" ht="18.75">
      <c r="C32" s="98"/>
      <c r="D32" s="97"/>
      <c r="E32" s="97"/>
      <c r="F32" s="98"/>
      <c r="G32" s="4"/>
      <c r="H32" s="4"/>
      <c r="I32" s="18"/>
      <c r="J32" s="31"/>
      <c r="K32" s="247">
        <f>K31+R31</f>
        <v>2326.4499999999998</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7">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T30:U30"/>
    <mergeCell ref="V30:W30"/>
    <mergeCell ref="X30:Y32"/>
    <mergeCell ref="H31:I31"/>
    <mergeCell ref="K31:Q31"/>
    <mergeCell ref="R31:W31"/>
    <mergeCell ref="K32:W32"/>
    <mergeCell ref="H30:I30"/>
    <mergeCell ref="K30:M30"/>
    <mergeCell ref="N30:O30"/>
    <mergeCell ref="P30:Q30"/>
    <mergeCell ref="R30:S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76D2C-E2B6-4099-9199-79C1FF29FA1F}">
  <sheetPr>
    <tabColor theme="5" tint="0.79998168889431442"/>
  </sheetPr>
  <dimension ref="C3:AC44"/>
  <sheetViews>
    <sheetView topLeftCell="F2" workbookViewId="0">
      <selection activeCell="I14" sqref="I14"/>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155</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695.75</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66.990000000000009</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762.74</v>
      </c>
      <c r="F7" s="17"/>
      <c r="G7" s="18"/>
      <c r="H7" s="30"/>
      <c r="I7" s="18" t="s">
        <v>21</v>
      </c>
      <c r="J7" s="31">
        <v>224</v>
      </c>
      <c r="K7" s="32"/>
      <c r="L7" s="4" t="s">
        <v>22</v>
      </c>
      <c r="M7" s="33">
        <v>500</v>
      </c>
      <c r="N7" s="4" t="s">
        <v>156</v>
      </c>
      <c r="O7" s="33">
        <v>15</v>
      </c>
      <c r="P7" s="34"/>
      <c r="Q7" s="18">
        <v>6.75</v>
      </c>
      <c r="R7" s="30"/>
      <c r="S7" s="33"/>
      <c r="T7" s="4"/>
      <c r="U7" s="18"/>
      <c r="V7" s="35"/>
      <c r="W7" s="18"/>
      <c r="X7" s="36"/>
      <c r="Y7" s="17"/>
      <c r="Z7" s="18"/>
      <c r="AA7" s="4"/>
      <c r="AB7" s="13" t="s">
        <v>7</v>
      </c>
      <c r="AC7" s="14" t="s">
        <v>28</v>
      </c>
    </row>
    <row r="8" spans="3:29" ht="16.5">
      <c r="C8" s="5"/>
      <c r="D8" s="37" t="s">
        <v>29</v>
      </c>
      <c r="E8" s="38">
        <f>J31</f>
        <v>751.47</v>
      </c>
      <c r="F8" s="17"/>
      <c r="G8" s="18"/>
      <c r="H8" s="265" t="s">
        <v>30</v>
      </c>
      <c r="I8" s="18" t="s">
        <v>157</v>
      </c>
      <c r="J8" s="63">
        <v>390</v>
      </c>
      <c r="K8" s="32" t="s">
        <v>158</v>
      </c>
      <c r="L8" s="4" t="s">
        <v>32</v>
      </c>
      <c r="M8" s="33">
        <v>50</v>
      </c>
      <c r="N8" s="4"/>
      <c r="O8" s="18"/>
      <c r="P8" s="34"/>
      <c r="Q8" s="18">
        <v>5</v>
      </c>
      <c r="R8" s="30"/>
      <c r="S8" s="33"/>
      <c r="T8" s="4" t="s">
        <v>159</v>
      </c>
      <c r="U8" s="18">
        <v>6.99</v>
      </c>
      <c r="V8" s="119"/>
      <c r="W8" s="120"/>
      <c r="X8" s="36" t="s">
        <v>36</v>
      </c>
      <c r="Y8" s="17">
        <v>9</v>
      </c>
      <c r="Z8" s="18"/>
      <c r="AA8" s="4"/>
      <c r="AB8" s="67" t="s">
        <v>8</v>
      </c>
      <c r="AC8" s="68" t="s">
        <v>37</v>
      </c>
    </row>
    <row r="9" spans="3:29" ht="16.5">
      <c r="C9" s="5"/>
      <c r="D9" s="4"/>
      <c r="E9" s="39"/>
      <c r="F9" s="17"/>
      <c r="G9" s="18"/>
      <c r="H9" s="265"/>
      <c r="I9" s="18" t="s">
        <v>38</v>
      </c>
      <c r="J9" s="31">
        <v>70</v>
      </c>
      <c r="K9" s="32"/>
      <c r="L9" s="4" t="s">
        <v>39</v>
      </c>
      <c r="M9" s="33">
        <v>33</v>
      </c>
      <c r="N9" s="18"/>
      <c r="O9" s="18"/>
      <c r="P9" s="34"/>
      <c r="Q9" s="18">
        <v>53</v>
      </c>
      <c r="R9" s="30"/>
      <c r="S9" s="33"/>
      <c r="T9" s="4" t="s">
        <v>160</v>
      </c>
      <c r="U9" s="18">
        <v>45</v>
      </c>
      <c r="V9" s="35"/>
      <c r="W9" s="18"/>
      <c r="X9" s="36" t="s">
        <v>161</v>
      </c>
      <c r="Y9" s="17">
        <v>46</v>
      </c>
      <c r="Z9" s="18"/>
      <c r="AA9" s="4"/>
      <c r="AB9" s="67" t="s">
        <v>42</v>
      </c>
      <c r="AC9" s="68" t="s">
        <v>43</v>
      </c>
    </row>
    <row r="10" spans="3:29" ht="16.5">
      <c r="C10" s="5"/>
      <c r="D10" s="4"/>
      <c r="E10" s="18"/>
      <c r="F10" s="17"/>
      <c r="G10" s="18"/>
      <c r="H10" s="266" t="s">
        <v>30</v>
      </c>
      <c r="I10" s="18" t="s">
        <v>162</v>
      </c>
      <c r="J10" s="31">
        <v>402.21</v>
      </c>
      <c r="K10" s="32"/>
      <c r="L10" s="4" t="s">
        <v>45</v>
      </c>
      <c r="M10" s="33"/>
      <c r="N10" s="18"/>
      <c r="O10" s="18"/>
      <c r="P10" s="34"/>
      <c r="Q10" s="41">
        <v>33</v>
      </c>
      <c r="R10" s="18"/>
      <c r="S10" s="33"/>
      <c r="T10" s="4" t="s">
        <v>163</v>
      </c>
      <c r="U10" s="18">
        <v>15</v>
      </c>
      <c r="V10" s="35"/>
      <c r="W10" s="18"/>
      <c r="X10" s="36" t="s">
        <v>164</v>
      </c>
      <c r="Y10" s="17">
        <v>30</v>
      </c>
      <c r="Z10" s="18"/>
      <c r="AA10" s="4"/>
      <c r="AB10" s="67" t="s">
        <v>10</v>
      </c>
      <c r="AC10" s="68" t="s">
        <v>49</v>
      </c>
    </row>
    <row r="11" spans="3:29" ht="16.5">
      <c r="C11" s="5"/>
      <c r="D11" s="231" t="s">
        <v>50</v>
      </c>
      <c r="E11" s="232"/>
      <c r="F11" s="17"/>
      <c r="G11" s="18"/>
      <c r="H11" s="266"/>
      <c r="I11" s="18" t="s">
        <v>38</v>
      </c>
      <c r="J11" s="31">
        <v>40</v>
      </c>
      <c r="K11" s="32"/>
      <c r="L11" s="4"/>
      <c r="M11" s="33"/>
      <c r="N11" s="18"/>
      <c r="O11" s="18"/>
      <c r="P11" s="34"/>
      <c r="Q11" s="41"/>
      <c r="R11" s="18"/>
      <c r="S11" s="33"/>
      <c r="T11" s="4"/>
      <c r="U11" s="18"/>
      <c r="V11" s="35"/>
      <c r="W11" s="18"/>
      <c r="X11" s="36"/>
      <c r="Y11" s="17"/>
      <c r="Z11" s="18"/>
      <c r="AA11" s="4"/>
      <c r="AB11" s="69" t="s">
        <v>54</v>
      </c>
      <c r="AC11" s="70" t="s">
        <v>55</v>
      </c>
    </row>
    <row r="12" spans="3:29" ht="16.5">
      <c r="C12" s="5"/>
      <c r="D12" s="42" t="s">
        <v>56</v>
      </c>
      <c r="E12" s="43">
        <v>2000</v>
      </c>
      <c r="F12" s="11"/>
      <c r="G12" s="12"/>
      <c r="H12" s="266" t="s">
        <v>30</v>
      </c>
      <c r="I12" s="18" t="s">
        <v>165</v>
      </c>
      <c r="J12" s="31">
        <v>448</v>
      </c>
      <c r="K12" s="32"/>
      <c r="L12" s="4"/>
      <c r="M12" s="33"/>
      <c r="N12" s="18"/>
      <c r="O12" s="18"/>
      <c r="P12" s="34"/>
      <c r="Q12" s="18"/>
      <c r="R12" s="30"/>
      <c r="S12" s="33"/>
      <c r="T12" s="4"/>
      <c r="U12" s="18"/>
      <c r="V12" s="35"/>
      <c r="W12" s="18"/>
      <c r="X12" s="36"/>
      <c r="Y12" s="17"/>
      <c r="Z12" s="18"/>
      <c r="AA12" s="4"/>
    </row>
    <row r="13" spans="3:29" ht="16.5">
      <c r="C13" s="5"/>
      <c r="D13" s="42" t="s">
        <v>61</v>
      </c>
      <c r="E13" s="17">
        <v>500</v>
      </c>
      <c r="F13" s="44"/>
      <c r="G13" s="39"/>
      <c r="H13" s="266"/>
      <c r="I13" s="18" t="s">
        <v>38</v>
      </c>
      <c r="J13" s="46">
        <v>49</v>
      </c>
      <c r="K13" s="47"/>
      <c r="L13" s="4"/>
      <c r="M13" s="33"/>
      <c r="N13" s="18"/>
      <c r="O13" s="18"/>
      <c r="P13" s="34"/>
      <c r="Q13" s="18"/>
      <c r="R13" s="30"/>
      <c r="S13" s="33"/>
      <c r="T13" s="4"/>
      <c r="U13" s="18"/>
      <c r="V13" s="35"/>
      <c r="W13" s="18"/>
      <c r="X13" s="36"/>
      <c r="Y13" s="17"/>
      <c r="Z13" s="18"/>
      <c r="AA13" s="4"/>
      <c r="AB13" s="4"/>
      <c r="AC13" s="4"/>
    </row>
    <row r="14" spans="3:29" ht="16.5">
      <c r="C14" s="5"/>
      <c r="D14" s="48" t="s">
        <v>20</v>
      </c>
      <c r="E14" s="49">
        <f>SUM(E12:E13)</f>
        <v>2500</v>
      </c>
      <c r="F14" s="50"/>
      <c r="G14" s="39"/>
      <c r="H14" s="267" t="s">
        <v>30</v>
      </c>
      <c r="I14" s="18" t="s">
        <v>166</v>
      </c>
      <c r="J14" s="46">
        <v>426</v>
      </c>
      <c r="K14" s="47"/>
      <c r="L14" s="4"/>
      <c r="M14" s="33"/>
      <c r="N14" s="18"/>
      <c r="O14" s="18"/>
      <c r="P14" s="34"/>
      <c r="Q14" s="18"/>
      <c r="R14" s="30"/>
      <c r="S14" s="33"/>
      <c r="T14" s="4"/>
      <c r="U14" s="18"/>
      <c r="V14" s="119"/>
      <c r="W14" s="120"/>
      <c r="X14" s="36"/>
      <c r="Y14" s="17"/>
      <c r="Z14" s="18"/>
      <c r="AA14" s="4"/>
      <c r="AB14" s="4"/>
      <c r="AC14" s="4"/>
    </row>
    <row r="15" spans="3:29" ht="16.5">
      <c r="C15" s="5"/>
      <c r="D15" s="2"/>
      <c r="E15" s="2"/>
      <c r="F15" s="44"/>
      <c r="G15" s="39"/>
      <c r="H15" s="267"/>
      <c r="I15" s="18" t="s">
        <v>38</v>
      </c>
      <c r="J15" s="46">
        <v>50</v>
      </c>
      <c r="K15" s="47"/>
      <c r="L15" s="4"/>
      <c r="M15" s="33"/>
      <c r="N15" s="18"/>
      <c r="O15" s="18"/>
      <c r="P15" s="34"/>
      <c r="Q15" s="18"/>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c r="O16" s="18"/>
      <c r="P16" s="34"/>
      <c r="Q16" s="18"/>
      <c r="R16" s="30"/>
      <c r="S16" s="33"/>
      <c r="T16" s="4"/>
      <c r="U16" s="18"/>
      <c r="V16" s="35"/>
      <c r="W16" s="18"/>
      <c r="X16" s="36"/>
      <c r="Y16" s="17"/>
      <c r="Z16" s="18"/>
      <c r="AA16" s="4"/>
      <c r="AB16" s="4"/>
      <c r="AC16" s="4"/>
    </row>
    <row r="17" spans="3:29" ht="16.5">
      <c r="C17" s="98"/>
      <c r="D17" s="71"/>
      <c r="E17" s="71"/>
      <c r="F17" s="100"/>
      <c r="G17" s="18"/>
      <c r="H17" s="30"/>
      <c r="I17" s="18"/>
      <c r="J17" s="52"/>
      <c r="K17" s="53"/>
      <c r="L17" s="4"/>
      <c r="M17" s="33"/>
      <c r="N17" s="18"/>
      <c r="O17" s="18"/>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2099.21</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500</v>
      </c>
      <c r="K25" s="58"/>
      <c r="L25" s="4"/>
      <c r="M25" s="33"/>
      <c r="N25" s="18"/>
      <c r="O25" s="18"/>
      <c r="P25" s="34"/>
      <c r="Q25" s="18"/>
      <c r="R25" s="30"/>
      <c r="S25" s="33"/>
      <c r="T25" s="4"/>
      <c r="U25" s="18"/>
      <c r="V25" s="35" t="s">
        <v>70</v>
      </c>
      <c r="W25" s="18"/>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6.5">
      <c r="C27" s="98"/>
      <c r="D27" s="98"/>
      <c r="G27" s="4"/>
      <c r="H27" s="40"/>
      <c r="I27" s="65" t="s">
        <v>11</v>
      </c>
      <c r="J27" s="66">
        <f>X30</f>
        <v>85</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1514.21</v>
      </c>
      <c r="K30" s="260">
        <f>SUM(M7:M29)</f>
        <v>583</v>
      </c>
      <c r="L30" s="261"/>
      <c r="M30" s="262"/>
      <c r="N30" s="258">
        <f>SUM(O7:O29)</f>
        <v>15</v>
      </c>
      <c r="O30" s="259"/>
      <c r="P30" s="243">
        <f>SUM(Q7:Q29)</f>
        <v>97.75</v>
      </c>
      <c r="Q30" s="244"/>
      <c r="R30" s="241">
        <f>SUM(S7:S29)</f>
        <v>0</v>
      </c>
      <c r="S30" s="242"/>
      <c r="T30" s="239">
        <f>SUM(U7:U29)</f>
        <v>66.990000000000009</v>
      </c>
      <c r="U30" s="240"/>
      <c r="V30" s="237">
        <f>SUM(W7:W29)</f>
        <v>0</v>
      </c>
      <c r="W30" s="238"/>
      <c r="X30" s="233">
        <f>SUM(Y7:Y29)</f>
        <v>85</v>
      </c>
      <c r="Y30" s="234"/>
      <c r="Z30" s="18"/>
      <c r="AA30" s="4"/>
    </row>
    <row r="31" spans="3:29" ht="16.5">
      <c r="C31" s="98"/>
      <c r="D31" s="97"/>
      <c r="E31" s="97"/>
      <c r="F31" s="98"/>
      <c r="G31" s="4"/>
      <c r="H31" s="256" t="s">
        <v>29</v>
      </c>
      <c r="I31" s="257"/>
      <c r="J31" s="62">
        <f>J30-K32</f>
        <v>751.47</v>
      </c>
      <c r="K31" s="253">
        <f>SUM(K30:Q30)</f>
        <v>695.75</v>
      </c>
      <c r="L31" s="254"/>
      <c r="M31" s="254"/>
      <c r="N31" s="254"/>
      <c r="O31" s="254"/>
      <c r="P31" s="254"/>
      <c r="Q31" s="255"/>
      <c r="R31" s="250">
        <f>R30+T30+V30</f>
        <v>66.990000000000009</v>
      </c>
      <c r="S31" s="251"/>
      <c r="T31" s="251"/>
      <c r="U31" s="251"/>
      <c r="V31" s="251"/>
      <c r="W31" s="252"/>
      <c r="X31" s="233"/>
      <c r="Y31" s="234"/>
      <c r="Z31" s="18"/>
      <c r="AA31" s="4"/>
    </row>
    <row r="32" spans="3:29" ht="18.75">
      <c r="C32" s="98"/>
      <c r="D32" s="97"/>
      <c r="E32" s="97"/>
      <c r="F32" s="98"/>
      <c r="G32" s="4"/>
      <c r="H32" s="4"/>
      <c r="I32" s="18"/>
      <c r="J32" s="31"/>
      <c r="K32" s="247">
        <f>K31+R31</f>
        <v>762.74</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8">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T30:U30"/>
    <mergeCell ref="H14:H15"/>
    <mergeCell ref="V30:W30"/>
    <mergeCell ref="X30:Y32"/>
    <mergeCell ref="H31:I31"/>
    <mergeCell ref="K31:Q31"/>
    <mergeCell ref="R31:W31"/>
    <mergeCell ref="K32:W32"/>
    <mergeCell ref="H30:I30"/>
    <mergeCell ref="K30:M30"/>
    <mergeCell ref="N30:O30"/>
    <mergeCell ref="P30:Q30"/>
    <mergeCell ref="R30:S3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461E0-FC77-44A9-AA8D-A443897C5418}">
  <sheetPr>
    <tabColor theme="5" tint="0.79998168889431442"/>
  </sheetPr>
  <dimension ref="C3:AC44"/>
  <sheetViews>
    <sheetView topLeftCell="G2" workbookViewId="0">
      <selection activeCell="Q25" sqref="Q25"/>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6.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168</v>
      </c>
      <c r="I4" s="210"/>
      <c r="J4" s="210"/>
      <c r="K4" s="210"/>
      <c r="L4" s="210"/>
      <c r="M4" s="210"/>
      <c r="N4" s="210"/>
      <c r="O4" s="210"/>
      <c r="P4" s="210"/>
      <c r="Q4" s="210"/>
      <c r="R4" s="210"/>
      <c r="S4" s="210"/>
      <c r="T4" s="210"/>
      <c r="U4" s="210"/>
      <c r="V4" s="210"/>
      <c r="W4" s="210"/>
      <c r="X4" s="210"/>
      <c r="Y4" s="211"/>
      <c r="Z4" s="8"/>
      <c r="AA4" s="4"/>
      <c r="AB4" s="212" t="s">
        <v>2</v>
      </c>
      <c r="AC4" s="213"/>
    </row>
    <row r="5" spans="3:29" ht="16.5">
      <c r="C5" s="5"/>
      <c r="D5" s="9" t="s">
        <v>3</v>
      </c>
      <c r="E5" s="10">
        <f>K31</f>
        <v>1243.94</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6.5">
      <c r="C6" s="5"/>
      <c r="D6" s="15" t="s">
        <v>13</v>
      </c>
      <c r="E6" s="16">
        <f>R31</f>
        <v>468.02000000000004</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6.5">
      <c r="C7" s="5"/>
      <c r="D7" s="28" t="s">
        <v>20</v>
      </c>
      <c r="E7" s="29">
        <f>E6+E5</f>
        <v>1711.96</v>
      </c>
      <c r="F7" s="17"/>
      <c r="G7" s="18"/>
      <c r="H7" s="30"/>
      <c r="I7" s="18" t="s">
        <v>21</v>
      </c>
      <c r="J7" s="122">
        <v>751</v>
      </c>
      <c r="K7" s="32"/>
      <c r="L7" s="4" t="s">
        <v>22</v>
      </c>
      <c r="M7" s="33">
        <v>500</v>
      </c>
      <c r="N7" s="4" t="s">
        <v>169</v>
      </c>
      <c r="O7" s="33">
        <v>30.36</v>
      </c>
      <c r="P7" s="123" t="s">
        <v>95</v>
      </c>
      <c r="Q7" s="118">
        <v>48</v>
      </c>
      <c r="R7" s="30"/>
      <c r="S7" s="33">
        <v>50</v>
      </c>
      <c r="T7" s="4"/>
      <c r="U7" s="18"/>
      <c r="V7" s="35" t="s">
        <v>170</v>
      </c>
      <c r="W7" s="18">
        <v>249.85</v>
      </c>
      <c r="X7" s="36"/>
      <c r="Y7" s="17"/>
      <c r="Z7" s="18"/>
      <c r="AA7" s="4"/>
      <c r="AB7" s="13" t="s">
        <v>7</v>
      </c>
      <c r="AC7" s="14" t="s">
        <v>28</v>
      </c>
    </row>
    <row r="8" spans="3:29" ht="16.5">
      <c r="C8" s="5"/>
      <c r="D8" s="37" t="s">
        <v>29</v>
      </c>
      <c r="E8" s="38">
        <f>J31</f>
        <v>409.05000000000018</v>
      </c>
      <c r="F8" s="17"/>
      <c r="G8" s="18"/>
      <c r="H8" s="265" t="s">
        <v>30</v>
      </c>
      <c r="I8" s="18" t="s">
        <v>171</v>
      </c>
      <c r="J8" s="63">
        <v>211.43</v>
      </c>
      <c r="K8" s="32"/>
      <c r="L8" s="4" t="s">
        <v>32</v>
      </c>
      <c r="M8" s="33">
        <v>50</v>
      </c>
      <c r="N8" s="4" t="s">
        <v>23</v>
      </c>
      <c r="O8" s="18">
        <v>29.69</v>
      </c>
      <c r="P8" s="123" t="s">
        <v>86</v>
      </c>
      <c r="Q8" s="118">
        <v>63</v>
      </c>
      <c r="R8" s="30"/>
      <c r="S8" s="33"/>
      <c r="T8" s="4" t="s">
        <v>172</v>
      </c>
      <c r="U8" s="18">
        <v>29.99</v>
      </c>
      <c r="V8" s="119" t="s">
        <v>173</v>
      </c>
      <c r="W8" s="120">
        <v>50</v>
      </c>
      <c r="X8" s="36" t="s">
        <v>36</v>
      </c>
      <c r="Y8" s="17">
        <v>8.61</v>
      </c>
      <c r="Z8" s="18"/>
      <c r="AA8" s="4"/>
      <c r="AB8" s="67" t="s">
        <v>8</v>
      </c>
      <c r="AC8" s="68" t="s">
        <v>37</v>
      </c>
    </row>
    <row r="9" spans="3:29" ht="16.5">
      <c r="C9" s="5"/>
      <c r="D9" s="4"/>
      <c r="E9" s="39"/>
      <c r="F9" s="17"/>
      <c r="G9" s="18"/>
      <c r="H9" s="265"/>
      <c r="I9" s="18" t="s">
        <v>38</v>
      </c>
      <c r="J9" s="31">
        <v>0</v>
      </c>
      <c r="K9" s="32"/>
      <c r="L9" s="4" t="s">
        <v>39</v>
      </c>
      <c r="M9" s="33">
        <v>39</v>
      </c>
      <c r="N9" s="18" t="s">
        <v>174</v>
      </c>
      <c r="O9" s="18">
        <v>16.59</v>
      </c>
      <c r="P9" s="34"/>
      <c r="Q9" s="18">
        <v>2.2999999999999998</v>
      </c>
      <c r="R9" s="30"/>
      <c r="S9" s="33"/>
      <c r="T9" s="4" t="s">
        <v>175</v>
      </c>
      <c r="U9" s="18">
        <v>20.190000000000001</v>
      </c>
      <c r="V9" s="35" t="s">
        <v>176</v>
      </c>
      <c r="W9" s="18">
        <v>54</v>
      </c>
      <c r="X9" s="36" t="s">
        <v>177</v>
      </c>
      <c r="Y9" s="17">
        <v>45.36</v>
      </c>
      <c r="Z9" s="18"/>
      <c r="AA9" s="4"/>
      <c r="AB9" s="67" t="s">
        <v>42</v>
      </c>
      <c r="AC9" s="68" t="s">
        <v>43</v>
      </c>
    </row>
    <row r="10" spans="3:29" ht="16.5">
      <c r="C10" s="5"/>
      <c r="D10" s="4"/>
      <c r="E10" s="18"/>
      <c r="F10" s="17"/>
      <c r="G10" s="18"/>
      <c r="H10" s="266" t="s">
        <v>30</v>
      </c>
      <c r="I10" s="18" t="s">
        <v>178</v>
      </c>
      <c r="J10" s="31">
        <v>260.57</v>
      </c>
      <c r="K10" s="32"/>
      <c r="L10" s="4" t="s">
        <v>45</v>
      </c>
      <c r="M10" s="33"/>
      <c r="N10" s="18" t="s">
        <v>23</v>
      </c>
      <c r="O10" s="18">
        <v>23.12</v>
      </c>
      <c r="P10" s="34"/>
      <c r="Q10" s="41">
        <v>61</v>
      </c>
      <c r="R10" s="18"/>
      <c r="S10" s="33"/>
      <c r="T10" s="4" t="s">
        <v>179</v>
      </c>
      <c r="U10" s="18">
        <v>13.99</v>
      </c>
      <c r="V10" s="35"/>
      <c r="W10" s="18"/>
      <c r="X10" s="36" t="s">
        <v>164</v>
      </c>
      <c r="Y10" s="17">
        <v>25.48</v>
      </c>
      <c r="Z10" s="18"/>
      <c r="AA10" s="4"/>
      <c r="AB10" s="67" t="s">
        <v>10</v>
      </c>
      <c r="AC10" s="68" t="s">
        <v>49</v>
      </c>
    </row>
    <row r="11" spans="3:29" ht="16.5">
      <c r="C11" s="5"/>
      <c r="D11" s="231" t="s">
        <v>50</v>
      </c>
      <c r="E11" s="232"/>
      <c r="F11" s="17"/>
      <c r="G11" s="18"/>
      <c r="H11" s="266"/>
      <c r="I11" s="18" t="s">
        <v>38</v>
      </c>
      <c r="J11" s="31">
        <v>0</v>
      </c>
      <c r="K11" s="32"/>
      <c r="L11" s="4" t="s">
        <v>180</v>
      </c>
      <c r="M11" s="33">
        <v>15</v>
      </c>
      <c r="N11" s="118" t="s">
        <v>181</v>
      </c>
      <c r="O11" s="118">
        <v>180</v>
      </c>
      <c r="P11" s="112"/>
      <c r="Q11" s="113">
        <v>8</v>
      </c>
      <c r="R11" s="18"/>
      <c r="S11" s="33"/>
      <c r="T11" s="4"/>
      <c r="U11" s="18"/>
      <c r="V11" s="35"/>
      <c r="W11" s="18"/>
      <c r="X11" s="36" t="s">
        <v>182</v>
      </c>
      <c r="Y11" s="17">
        <v>44.46</v>
      </c>
      <c r="Z11" s="18"/>
      <c r="AA11" s="4"/>
      <c r="AB11" s="69" t="s">
        <v>54</v>
      </c>
      <c r="AC11" s="70" t="s">
        <v>55</v>
      </c>
    </row>
    <row r="12" spans="3:29" ht="16.5">
      <c r="C12" s="5"/>
      <c r="D12" s="42" t="s">
        <v>56</v>
      </c>
      <c r="E12" s="43">
        <v>2500</v>
      </c>
      <c r="F12" s="11"/>
      <c r="G12" s="12"/>
      <c r="H12" s="266" t="s">
        <v>30</v>
      </c>
      <c r="I12" s="18" t="s">
        <v>183</v>
      </c>
      <c r="J12" s="31">
        <v>387.43</v>
      </c>
      <c r="K12" s="32"/>
      <c r="L12" s="4"/>
      <c r="M12" s="33"/>
      <c r="N12" s="18" t="s">
        <v>184</v>
      </c>
      <c r="O12" s="18">
        <v>2.48</v>
      </c>
      <c r="P12" s="34"/>
      <c r="Q12" s="18">
        <v>5.99</v>
      </c>
      <c r="R12" s="30"/>
      <c r="S12" s="33"/>
      <c r="T12" s="4"/>
      <c r="U12" s="18"/>
      <c r="V12" s="35"/>
      <c r="W12" s="18"/>
      <c r="X12" s="36"/>
      <c r="Y12" s="17"/>
      <c r="Z12" s="18"/>
      <c r="AA12" s="4"/>
    </row>
    <row r="13" spans="3:29" ht="16.5">
      <c r="C13" s="5"/>
      <c r="D13" s="42" t="s">
        <v>61</v>
      </c>
      <c r="E13" s="17">
        <v>0</v>
      </c>
      <c r="F13" s="44"/>
      <c r="G13" s="39"/>
      <c r="H13" s="266"/>
      <c r="I13" s="18" t="s">
        <v>38</v>
      </c>
      <c r="J13" s="46">
        <v>60</v>
      </c>
      <c r="K13" s="47"/>
      <c r="L13" s="4"/>
      <c r="M13" s="33"/>
      <c r="N13" s="18" t="s">
        <v>185</v>
      </c>
      <c r="O13" s="18">
        <v>44.65</v>
      </c>
      <c r="P13" s="34"/>
      <c r="Q13" s="18">
        <v>3.72</v>
      </c>
      <c r="R13" s="30"/>
      <c r="S13" s="33"/>
      <c r="T13" s="4"/>
      <c r="U13" s="18"/>
      <c r="V13" s="35"/>
      <c r="W13" s="18"/>
      <c r="X13" s="36"/>
      <c r="Y13" s="17"/>
      <c r="Z13" s="18"/>
      <c r="AA13" s="4"/>
      <c r="AB13" s="4"/>
      <c r="AC13" s="4"/>
    </row>
    <row r="14" spans="3:29" ht="16.5">
      <c r="C14" s="5"/>
      <c r="D14" s="48" t="s">
        <v>20</v>
      </c>
      <c r="E14" s="49">
        <f>SUM(E12:E13)</f>
        <v>2500</v>
      </c>
      <c r="F14" s="50"/>
      <c r="G14" s="39"/>
      <c r="H14" s="267" t="s">
        <v>30</v>
      </c>
      <c r="I14" s="18" t="s">
        <v>186</v>
      </c>
      <c r="J14" s="46">
        <v>442.49</v>
      </c>
      <c r="K14" s="47"/>
      <c r="L14" s="4"/>
      <c r="M14" s="33"/>
      <c r="N14" s="18" t="s">
        <v>187</v>
      </c>
      <c r="O14" s="18">
        <v>10.98</v>
      </c>
      <c r="P14" s="34"/>
      <c r="Q14" s="18">
        <v>5</v>
      </c>
      <c r="R14" s="30"/>
      <c r="S14" s="33"/>
      <c r="T14" s="4"/>
      <c r="U14" s="18"/>
      <c r="V14" s="119"/>
      <c r="W14" s="120"/>
      <c r="X14" s="36"/>
      <c r="Y14" s="17"/>
      <c r="Z14" s="18"/>
      <c r="AA14" s="4"/>
      <c r="AB14" s="4"/>
      <c r="AC14" s="4"/>
    </row>
    <row r="15" spans="3:29" ht="16.5">
      <c r="C15" s="5"/>
      <c r="D15" s="2"/>
      <c r="E15" s="2"/>
      <c r="F15" s="44"/>
      <c r="G15" s="39"/>
      <c r="H15" s="267"/>
      <c r="I15" s="18" t="s">
        <v>38</v>
      </c>
      <c r="J15" s="46">
        <v>132</v>
      </c>
      <c r="K15" s="47"/>
      <c r="L15" s="4"/>
      <c r="M15" s="33"/>
      <c r="N15" s="18" t="s">
        <v>188</v>
      </c>
      <c r="O15" s="18">
        <v>26</v>
      </c>
      <c r="P15" s="34"/>
      <c r="Q15" s="18"/>
      <c r="R15" s="30"/>
      <c r="S15" s="33"/>
      <c r="T15" s="4"/>
      <c r="U15" s="18"/>
      <c r="V15" s="35"/>
      <c r="W15" s="18"/>
      <c r="X15" s="36"/>
      <c r="Y15" s="17"/>
      <c r="Z15" s="18"/>
      <c r="AA15" s="4"/>
      <c r="AB15" s="4"/>
      <c r="AC15" s="4"/>
    </row>
    <row r="16" spans="3:29" ht="16.5">
      <c r="C16" s="102"/>
      <c r="D16" s="103"/>
      <c r="E16" s="103"/>
      <c r="F16" s="104"/>
      <c r="G16" s="39"/>
      <c r="H16" s="45"/>
      <c r="I16" s="18"/>
      <c r="J16" s="31"/>
      <c r="K16" s="32"/>
      <c r="L16" s="4"/>
      <c r="M16" s="33"/>
      <c r="N16" s="18" t="s">
        <v>23</v>
      </c>
      <c r="O16" s="18">
        <v>29.06</v>
      </c>
      <c r="P16" s="34"/>
      <c r="Q16" s="18"/>
      <c r="R16" s="30"/>
      <c r="S16" s="33"/>
      <c r="T16" s="4"/>
      <c r="U16" s="18"/>
      <c r="V16" s="35"/>
      <c r="W16" s="18"/>
      <c r="X16" s="36"/>
      <c r="Y16" s="17"/>
      <c r="Z16" s="18"/>
      <c r="AA16" s="4"/>
      <c r="AB16" s="4"/>
      <c r="AC16" s="4"/>
    </row>
    <row r="17" spans="3:29" ht="16.5">
      <c r="C17" s="98"/>
      <c r="D17" s="71"/>
      <c r="E17" s="71"/>
      <c r="F17" s="100"/>
      <c r="G17" s="18"/>
      <c r="H17" s="30"/>
      <c r="I17" s="18"/>
      <c r="J17" s="52"/>
      <c r="K17" s="53"/>
      <c r="L17" s="4"/>
      <c r="M17" s="33"/>
      <c r="N17" s="18" t="s">
        <v>189</v>
      </c>
      <c r="O17" s="18">
        <v>50</v>
      </c>
      <c r="P17" s="34"/>
      <c r="Q17" s="18"/>
      <c r="R17" s="30"/>
      <c r="S17" s="33"/>
      <c r="T17" s="4"/>
      <c r="U17" s="18"/>
      <c r="V17" s="35"/>
      <c r="W17" s="18"/>
      <c r="X17" s="36"/>
      <c r="Y17" s="17"/>
      <c r="Z17" s="18"/>
      <c r="AA17" s="4"/>
      <c r="AB17" s="4"/>
      <c r="AC17" s="4"/>
    </row>
    <row r="18" spans="3:29" ht="16.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6.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6.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6.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6.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6.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6.5">
      <c r="C24" s="98"/>
      <c r="D24" s="98"/>
      <c r="E24" s="71"/>
      <c r="F24" s="71"/>
      <c r="G24" s="39"/>
      <c r="H24" s="45"/>
      <c r="I24" s="59" t="s">
        <v>20</v>
      </c>
      <c r="J24" s="60">
        <f>SUM(J7:J23)</f>
        <v>2244.92</v>
      </c>
      <c r="K24" s="58"/>
      <c r="L24" s="4"/>
      <c r="M24" s="33"/>
      <c r="N24" s="18"/>
      <c r="O24" s="18"/>
      <c r="P24" s="34"/>
      <c r="Q24" s="18"/>
      <c r="R24" s="30"/>
      <c r="S24" s="33"/>
      <c r="T24" s="4"/>
      <c r="U24" s="18"/>
      <c r="V24" s="35"/>
      <c r="W24" s="18"/>
      <c r="X24" s="36"/>
      <c r="Y24" s="17"/>
      <c r="Z24" s="18"/>
      <c r="AA24" s="4"/>
      <c r="AB24" s="4"/>
      <c r="AC24" s="4"/>
    </row>
    <row r="25" spans="3:29" ht="16.5">
      <c r="C25" s="98"/>
      <c r="D25" s="98"/>
      <c r="G25" s="4"/>
      <c r="H25" s="40"/>
      <c r="I25" s="4" t="s">
        <v>69</v>
      </c>
      <c r="J25" s="31">
        <v>0</v>
      </c>
      <c r="K25" s="58"/>
      <c r="L25" s="4"/>
      <c r="M25" s="33"/>
      <c r="N25" s="18"/>
      <c r="O25" s="18"/>
      <c r="P25" s="34"/>
      <c r="Q25" s="18"/>
      <c r="R25" s="30"/>
      <c r="S25" s="33"/>
      <c r="T25" s="4"/>
      <c r="U25" s="18"/>
      <c r="V25" s="35" t="s">
        <v>70</v>
      </c>
      <c r="W25" s="18"/>
      <c r="X25" s="36"/>
      <c r="Y25" s="17"/>
      <c r="Z25" s="18"/>
      <c r="AA25" s="4"/>
      <c r="AB25" s="18"/>
      <c r="AC25" s="4"/>
    </row>
    <row r="26" spans="3:29" ht="16.5">
      <c r="C26" s="98"/>
      <c r="D26" s="98"/>
      <c r="G26" s="4"/>
      <c r="H26" s="40"/>
      <c r="I26" s="4" t="s">
        <v>71</v>
      </c>
      <c r="J26" s="31">
        <v>0</v>
      </c>
      <c r="K26" s="32"/>
      <c r="L26" s="4"/>
      <c r="M26" s="33"/>
      <c r="N26" s="18"/>
      <c r="O26" s="18"/>
      <c r="P26" s="34"/>
      <c r="Q26" s="18"/>
      <c r="R26" s="30"/>
      <c r="S26" s="33"/>
      <c r="T26" s="4"/>
      <c r="U26" s="18"/>
      <c r="V26" s="106" t="s">
        <v>167</v>
      </c>
      <c r="W26" s="107"/>
      <c r="X26" s="36"/>
      <c r="Y26" s="17"/>
      <c r="Z26" s="18"/>
      <c r="AA26" s="4"/>
      <c r="AB26" s="4"/>
      <c r="AC26" s="4"/>
    </row>
    <row r="27" spans="3:29" ht="16.5">
      <c r="C27" s="98"/>
      <c r="D27" s="98"/>
      <c r="G27" s="4"/>
      <c r="H27" s="40"/>
      <c r="I27" s="65" t="s">
        <v>11</v>
      </c>
      <c r="J27" s="66">
        <f>X30</f>
        <v>123.91</v>
      </c>
      <c r="K27" s="32"/>
      <c r="L27" s="4"/>
      <c r="M27" s="33"/>
      <c r="N27" s="18"/>
      <c r="O27" s="18"/>
      <c r="P27" s="34"/>
      <c r="Q27" s="18"/>
      <c r="R27" s="30"/>
      <c r="S27" s="33"/>
      <c r="T27" s="4"/>
      <c r="U27" s="18"/>
      <c r="V27" s="35"/>
      <c r="W27" s="18"/>
      <c r="X27" s="36"/>
      <c r="Y27" s="17"/>
      <c r="Z27" s="18"/>
      <c r="AA27" s="4"/>
      <c r="AB27" s="4"/>
      <c r="AC27" s="4"/>
    </row>
    <row r="28" spans="3:29" ht="16.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6.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6.5">
      <c r="C30" s="98"/>
      <c r="D30" s="97"/>
      <c r="E30" s="97"/>
      <c r="F30" s="98"/>
      <c r="G30" s="4"/>
      <c r="H30" s="263" t="s">
        <v>74</v>
      </c>
      <c r="I30" s="264"/>
      <c r="J30" s="61">
        <f>J24-J25-J26-J27-J28-J29</f>
        <v>2121.0100000000002</v>
      </c>
      <c r="K30" s="260">
        <f>SUM(M7:M29)</f>
        <v>604</v>
      </c>
      <c r="L30" s="261"/>
      <c r="M30" s="262"/>
      <c r="N30" s="258">
        <f>SUM(O7:O29)</f>
        <v>442.93</v>
      </c>
      <c r="O30" s="259"/>
      <c r="P30" s="243">
        <f>SUM(Q7:Q29)</f>
        <v>197.01000000000002</v>
      </c>
      <c r="Q30" s="244"/>
      <c r="R30" s="241">
        <f>SUM(S7:S29)</f>
        <v>50</v>
      </c>
      <c r="S30" s="242"/>
      <c r="T30" s="239">
        <f>SUM(U7:U29)</f>
        <v>64.17</v>
      </c>
      <c r="U30" s="240"/>
      <c r="V30" s="237">
        <f>SUM(W7:W29)</f>
        <v>353.85</v>
      </c>
      <c r="W30" s="238"/>
      <c r="X30" s="233">
        <f>SUM(Y7:Y29)</f>
        <v>123.91</v>
      </c>
      <c r="Y30" s="234"/>
      <c r="Z30" s="18"/>
      <c r="AA30" s="4"/>
    </row>
    <row r="31" spans="3:29" ht="16.5">
      <c r="C31" s="98"/>
      <c r="D31" s="97"/>
      <c r="E31" s="97"/>
      <c r="F31" s="98"/>
      <c r="G31" s="4"/>
      <c r="H31" s="256" t="s">
        <v>29</v>
      </c>
      <c r="I31" s="257"/>
      <c r="J31" s="62">
        <f>J30-K32</f>
        <v>409.05000000000018</v>
      </c>
      <c r="K31" s="253">
        <f>SUM(K30:Q30)</f>
        <v>1243.94</v>
      </c>
      <c r="L31" s="254"/>
      <c r="M31" s="254"/>
      <c r="N31" s="254"/>
      <c r="O31" s="254"/>
      <c r="P31" s="254"/>
      <c r="Q31" s="255"/>
      <c r="R31" s="250">
        <f>R30+T30+V30</f>
        <v>468.02000000000004</v>
      </c>
      <c r="S31" s="251"/>
      <c r="T31" s="251"/>
      <c r="U31" s="251"/>
      <c r="V31" s="251"/>
      <c r="W31" s="252"/>
      <c r="X31" s="233"/>
      <c r="Y31" s="234"/>
      <c r="Z31" s="18"/>
      <c r="AA31" s="4"/>
    </row>
    <row r="32" spans="3:29" ht="18.75">
      <c r="C32" s="98"/>
      <c r="D32" s="97"/>
      <c r="E32" s="97"/>
      <c r="F32" s="98"/>
      <c r="G32" s="4"/>
      <c r="H32" s="4"/>
      <c r="I32" s="18"/>
      <c r="J32" s="31"/>
      <c r="K32" s="247">
        <f>K31+R31</f>
        <v>1711.96</v>
      </c>
      <c r="L32" s="248"/>
      <c r="M32" s="248"/>
      <c r="N32" s="248"/>
      <c r="O32" s="248"/>
      <c r="P32" s="248"/>
      <c r="Q32" s="248"/>
      <c r="R32" s="248"/>
      <c r="S32" s="248"/>
      <c r="T32" s="248"/>
      <c r="U32" s="248"/>
      <c r="V32" s="248"/>
      <c r="W32" s="249"/>
      <c r="X32" s="235"/>
      <c r="Y32" s="236"/>
      <c r="Z32" s="18"/>
      <c r="AA32" s="4"/>
    </row>
    <row r="33" spans="3:27" ht="16.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8">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V30:W30"/>
    <mergeCell ref="X30:Y32"/>
    <mergeCell ref="H31:I31"/>
    <mergeCell ref="K31:Q31"/>
    <mergeCell ref="R31:W31"/>
    <mergeCell ref="K32:W32"/>
    <mergeCell ref="H30:I30"/>
    <mergeCell ref="K30:M30"/>
    <mergeCell ref="N30:O30"/>
    <mergeCell ref="P30:Q30"/>
    <mergeCell ref="R30:S30"/>
    <mergeCell ref="T30:U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F668A-3DFE-48A9-A6BA-916D64025B2C}">
  <sheetPr>
    <tabColor theme="5" tint="0.79998168889431442"/>
  </sheetPr>
  <dimension ref="C3:AC44"/>
  <sheetViews>
    <sheetView topLeftCell="G2" workbookViewId="0">
      <selection activeCell="J16" sqref="J16"/>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190</v>
      </c>
      <c r="I4" s="210"/>
      <c r="J4" s="210"/>
      <c r="K4" s="210"/>
      <c r="L4" s="210"/>
      <c r="M4" s="210"/>
      <c r="N4" s="210"/>
      <c r="O4" s="210"/>
      <c r="P4" s="210"/>
      <c r="Q4" s="210"/>
      <c r="R4" s="210"/>
      <c r="S4" s="210"/>
      <c r="T4" s="210"/>
      <c r="U4" s="210"/>
      <c r="V4" s="210"/>
      <c r="W4" s="210"/>
      <c r="X4" s="210"/>
      <c r="Y4" s="211"/>
      <c r="Z4" s="8"/>
      <c r="AA4" s="4"/>
      <c r="AB4" s="212" t="s">
        <v>2</v>
      </c>
      <c r="AC4" s="213"/>
    </row>
    <row r="5" spans="3:29" ht="15.75">
      <c r="C5" s="5"/>
      <c r="D5" s="9" t="s">
        <v>3</v>
      </c>
      <c r="E5" s="10">
        <f>K31</f>
        <v>1011.0999999999999</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5.75">
      <c r="C6" s="5"/>
      <c r="D6" s="15" t="s">
        <v>13</v>
      </c>
      <c r="E6" s="16">
        <f>R31</f>
        <v>168.47</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1179.57</v>
      </c>
      <c r="F7" s="17"/>
      <c r="G7" s="18"/>
      <c r="H7" s="30"/>
      <c r="I7" s="18" t="s">
        <v>21</v>
      </c>
      <c r="J7" s="122">
        <v>409.05</v>
      </c>
      <c r="K7" s="32"/>
      <c r="L7" s="4" t="s">
        <v>22</v>
      </c>
      <c r="M7" s="33">
        <v>500</v>
      </c>
      <c r="N7" s="4"/>
      <c r="O7" s="33">
        <v>3.25</v>
      </c>
      <c r="P7" s="112" t="s">
        <v>191</v>
      </c>
      <c r="Q7" s="120">
        <v>57</v>
      </c>
      <c r="R7" s="30"/>
      <c r="S7" s="33">
        <v>50</v>
      </c>
      <c r="T7" s="4" t="s">
        <v>192</v>
      </c>
      <c r="U7" s="18">
        <v>4.99</v>
      </c>
      <c r="V7" s="35" t="s">
        <v>193</v>
      </c>
      <c r="W7" s="18">
        <v>6</v>
      </c>
      <c r="X7" s="36" t="s">
        <v>36</v>
      </c>
      <c r="Y7" s="17">
        <v>8.61</v>
      </c>
      <c r="Z7" s="18"/>
      <c r="AA7" s="4"/>
      <c r="AB7" s="13" t="s">
        <v>7</v>
      </c>
      <c r="AC7" s="14" t="s">
        <v>28</v>
      </c>
    </row>
    <row r="8" spans="3:29" ht="15.75">
      <c r="C8" s="5"/>
      <c r="D8" s="37" t="s">
        <v>29</v>
      </c>
      <c r="E8" s="38">
        <f>J31</f>
        <v>581.55999999999995</v>
      </c>
      <c r="F8" s="17"/>
      <c r="G8" s="18"/>
      <c r="H8" s="265" t="s">
        <v>30</v>
      </c>
      <c r="I8" s="18" t="s">
        <v>194</v>
      </c>
      <c r="J8" s="63">
        <v>331</v>
      </c>
      <c r="K8" s="32"/>
      <c r="L8" s="4" t="s">
        <v>32</v>
      </c>
      <c r="M8" s="33"/>
      <c r="N8" s="4"/>
      <c r="O8" s="18">
        <v>43.36</v>
      </c>
      <c r="P8" s="112" t="s">
        <v>195</v>
      </c>
      <c r="Q8" s="120">
        <v>15.63</v>
      </c>
      <c r="R8" s="30"/>
      <c r="S8" s="33"/>
      <c r="T8" s="4" t="s">
        <v>196</v>
      </c>
      <c r="U8" s="18">
        <v>26.49</v>
      </c>
      <c r="V8" s="119"/>
      <c r="W8" s="120"/>
      <c r="X8" s="36" t="s">
        <v>197</v>
      </c>
      <c r="Y8" s="17">
        <v>43.76</v>
      </c>
      <c r="Z8" s="18"/>
      <c r="AA8" s="4"/>
      <c r="AB8" s="67" t="s">
        <v>8</v>
      </c>
      <c r="AC8" s="68" t="s">
        <v>37</v>
      </c>
    </row>
    <row r="9" spans="3:29" ht="15.75">
      <c r="C9" s="5"/>
      <c r="D9" s="4"/>
      <c r="E9" s="39"/>
      <c r="F9" s="17"/>
      <c r="G9" s="18"/>
      <c r="H9" s="265"/>
      <c r="I9" s="18" t="s">
        <v>38</v>
      </c>
      <c r="J9" s="31">
        <v>55</v>
      </c>
      <c r="K9" s="32"/>
      <c r="L9" s="4" t="s">
        <v>39</v>
      </c>
      <c r="M9" s="33">
        <v>30</v>
      </c>
      <c r="N9" s="18" t="s">
        <v>23</v>
      </c>
      <c r="O9" s="18">
        <v>28.34</v>
      </c>
      <c r="P9" s="34" t="s">
        <v>195</v>
      </c>
      <c r="Q9" s="18">
        <v>23</v>
      </c>
      <c r="R9" s="30"/>
      <c r="S9" s="33"/>
      <c r="T9" s="4" t="s">
        <v>198</v>
      </c>
      <c r="U9" s="18">
        <v>32</v>
      </c>
      <c r="V9" s="35"/>
      <c r="W9" s="18"/>
      <c r="X9" s="36" t="s">
        <v>164</v>
      </c>
      <c r="Y9" s="17">
        <v>24.81</v>
      </c>
      <c r="Z9" s="18"/>
      <c r="AA9" s="4"/>
      <c r="AB9" s="67" t="s">
        <v>42</v>
      </c>
      <c r="AC9" s="68" t="s">
        <v>43</v>
      </c>
    </row>
    <row r="10" spans="3:29" ht="15.75">
      <c r="C10" s="5"/>
      <c r="D10" s="4"/>
      <c r="E10" s="18"/>
      <c r="F10" s="17"/>
      <c r="G10" s="18"/>
      <c r="H10" s="266" t="s">
        <v>30</v>
      </c>
      <c r="I10" s="18" t="s">
        <v>199</v>
      </c>
      <c r="J10" s="31">
        <v>362.26</v>
      </c>
      <c r="K10" s="32"/>
      <c r="L10" s="4" t="s">
        <v>45</v>
      </c>
      <c r="M10" s="33"/>
      <c r="N10" s="18" t="s">
        <v>23</v>
      </c>
      <c r="O10" s="18">
        <v>4.62</v>
      </c>
      <c r="P10" s="34" t="s">
        <v>191</v>
      </c>
      <c r="Q10" s="41">
        <v>98.26</v>
      </c>
      <c r="R10" s="18"/>
      <c r="S10" s="33"/>
      <c r="T10" s="4" t="s">
        <v>200</v>
      </c>
      <c r="U10" s="18">
        <v>16.989999999999998</v>
      </c>
      <c r="V10" s="35"/>
      <c r="W10" s="18"/>
      <c r="X10" s="36"/>
      <c r="Y10" s="17"/>
      <c r="Z10" s="18"/>
      <c r="AA10" s="4"/>
      <c r="AB10" s="67" t="s">
        <v>10</v>
      </c>
      <c r="AC10" s="68" t="s">
        <v>49</v>
      </c>
    </row>
    <row r="11" spans="3:29" ht="15.75">
      <c r="C11" s="5"/>
      <c r="D11" s="231" t="s">
        <v>50</v>
      </c>
      <c r="E11" s="232"/>
      <c r="F11" s="17"/>
      <c r="G11" s="18"/>
      <c r="H11" s="266"/>
      <c r="I11" s="18" t="s">
        <v>38</v>
      </c>
      <c r="J11" s="31">
        <v>15</v>
      </c>
      <c r="K11" s="32"/>
      <c r="L11" s="4" t="s">
        <v>180</v>
      </c>
      <c r="M11" s="33"/>
      <c r="N11" s="120" t="s">
        <v>23</v>
      </c>
      <c r="O11" s="120">
        <v>6.78</v>
      </c>
      <c r="P11" s="112" t="s">
        <v>195</v>
      </c>
      <c r="Q11" s="113">
        <v>21</v>
      </c>
      <c r="R11" s="18"/>
      <c r="S11" s="33"/>
      <c r="T11" s="4" t="s">
        <v>201</v>
      </c>
      <c r="U11" s="18">
        <v>22</v>
      </c>
      <c r="V11" s="35"/>
      <c r="W11" s="18"/>
      <c r="X11" s="36"/>
      <c r="Y11" s="17"/>
      <c r="Z11" s="18"/>
      <c r="AA11" s="4"/>
      <c r="AB11" s="69" t="s">
        <v>54</v>
      </c>
      <c r="AC11" s="70" t="s">
        <v>55</v>
      </c>
    </row>
    <row r="12" spans="3:29" ht="15.75">
      <c r="C12" s="5"/>
      <c r="D12" s="42" t="s">
        <v>56</v>
      </c>
      <c r="E12" s="43">
        <v>2500</v>
      </c>
      <c r="F12" s="11"/>
      <c r="G12" s="12"/>
      <c r="H12" s="266" t="s">
        <v>30</v>
      </c>
      <c r="I12" s="18" t="s">
        <v>202</v>
      </c>
      <c r="J12" s="31">
        <v>386</v>
      </c>
      <c r="K12" s="32"/>
      <c r="L12" s="4"/>
      <c r="M12" s="33"/>
      <c r="N12" s="18" t="s">
        <v>203</v>
      </c>
      <c r="O12" s="18">
        <v>25</v>
      </c>
      <c r="P12" s="34"/>
      <c r="Q12" s="18">
        <v>1.99</v>
      </c>
      <c r="R12" s="30"/>
      <c r="S12" s="33"/>
      <c r="T12" s="4"/>
      <c r="U12" s="18"/>
      <c r="V12" s="35"/>
      <c r="W12" s="18"/>
      <c r="X12" s="36"/>
      <c r="Y12" s="17"/>
      <c r="Z12" s="18"/>
      <c r="AA12" s="4"/>
    </row>
    <row r="13" spans="3:29" ht="15.75">
      <c r="C13" s="5"/>
      <c r="D13" s="42" t="s">
        <v>61</v>
      </c>
      <c r="E13" s="17">
        <v>500</v>
      </c>
      <c r="F13" s="44"/>
      <c r="G13" s="39"/>
      <c r="H13" s="266"/>
      <c r="I13" s="18" t="s">
        <v>38</v>
      </c>
      <c r="J13" s="46">
        <v>30</v>
      </c>
      <c r="K13" s="47"/>
      <c r="L13" s="4"/>
      <c r="M13" s="33"/>
      <c r="N13" s="18" t="s">
        <v>204</v>
      </c>
      <c r="O13" s="18">
        <v>24.95</v>
      </c>
      <c r="P13" s="34"/>
      <c r="Q13" s="18">
        <v>15</v>
      </c>
      <c r="R13" s="30"/>
      <c r="S13" s="33"/>
      <c r="T13" s="4"/>
      <c r="U13" s="18"/>
      <c r="V13" s="35"/>
      <c r="W13" s="18"/>
      <c r="X13" s="36"/>
      <c r="Y13" s="17"/>
      <c r="Z13" s="18"/>
      <c r="AA13" s="4"/>
      <c r="AB13" s="4"/>
      <c r="AC13" s="4"/>
    </row>
    <row r="14" spans="3:29" ht="15.75">
      <c r="C14" s="5"/>
      <c r="D14" s="48" t="s">
        <v>20</v>
      </c>
      <c r="E14" s="49">
        <f>SUM(E12:E13)</f>
        <v>3000</v>
      </c>
      <c r="F14" s="50"/>
      <c r="G14" s="39"/>
      <c r="H14" s="267" t="s">
        <v>30</v>
      </c>
      <c r="I14" s="18" t="s">
        <v>205</v>
      </c>
      <c r="J14" s="46">
        <v>415</v>
      </c>
      <c r="K14" s="47"/>
      <c r="L14" s="4"/>
      <c r="M14" s="33"/>
      <c r="N14" s="18"/>
      <c r="O14" s="18"/>
      <c r="P14" s="34"/>
      <c r="Q14" s="18">
        <v>1.99</v>
      </c>
      <c r="R14" s="30"/>
      <c r="S14" s="33"/>
      <c r="T14" s="4"/>
      <c r="U14" s="18"/>
      <c r="V14" s="119"/>
      <c r="W14" s="120"/>
      <c r="X14" s="36"/>
      <c r="Y14" s="17"/>
      <c r="Z14" s="18"/>
      <c r="AA14" s="4"/>
      <c r="AB14" s="4"/>
      <c r="AC14" s="4"/>
    </row>
    <row r="15" spans="3:29" ht="15.75">
      <c r="C15" s="5"/>
      <c r="D15" s="2"/>
      <c r="E15" s="2"/>
      <c r="F15" s="44"/>
      <c r="G15" s="39"/>
      <c r="H15" s="267"/>
      <c r="I15" s="18" t="s">
        <v>38</v>
      </c>
      <c r="J15" s="46">
        <v>45</v>
      </c>
      <c r="K15" s="47"/>
      <c r="L15" s="4"/>
      <c r="M15" s="33"/>
      <c r="N15" s="18"/>
      <c r="O15" s="18"/>
      <c r="P15" s="34"/>
      <c r="Q15" s="18">
        <v>5.99</v>
      </c>
      <c r="R15" s="30"/>
      <c r="S15" s="33"/>
      <c r="T15" s="4"/>
      <c r="U15" s="18"/>
      <c r="V15" s="35"/>
      <c r="W15" s="18"/>
      <c r="X15" s="36"/>
      <c r="Y15" s="17"/>
      <c r="Z15" s="18"/>
      <c r="AA15" s="4"/>
      <c r="AB15" s="4"/>
      <c r="AC15" s="4"/>
    </row>
    <row r="16" spans="3:29" ht="15.75">
      <c r="C16" s="102"/>
      <c r="D16" s="103"/>
      <c r="E16" s="103"/>
      <c r="F16" s="104"/>
      <c r="G16" s="39"/>
      <c r="H16" s="268"/>
      <c r="I16" s="18" t="s">
        <v>206</v>
      </c>
      <c r="J16" s="31">
        <v>390</v>
      </c>
      <c r="K16" s="32"/>
      <c r="L16" s="4"/>
      <c r="M16" s="33"/>
      <c r="N16" s="18"/>
      <c r="O16" s="18"/>
      <c r="P16" s="34"/>
      <c r="Q16" s="18">
        <v>4.4400000000000004</v>
      </c>
      <c r="R16" s="30"/>
      <c r="S16" s="33"/>
      <c r="T16" s="4"/>
      <c r="U16" s="18"/>
      <c r="V16" s="35"/>
      <c r="W16" s="18"/>
      <c r="X16" s="36"/>
      <c r="Y16" s="17"/>
      <c r="Z16" s="18"/>
      <c r="AA16" s="4"/>
      <c r="AB16" s="4"/>
      <c r="AC16" s="4"/>
    </row>
    <row r="17" spans="3:29" ht="15.75">
      <c r="C17" s="98"/>
      <c r="D17" s="71"/>
      <c r="E17" s="71"/>
      <c r="F17" s="100"/>
      <c r="G17" s="18"/>
      <c r="H17" s="268"/>
      <c r="I17" s="18"/>
      <c r="J17" s="52"/>
      <c r="K17" s="53"/>
      <c r="L17" s="4"/>
      <c r="M17" s="33"/>
      <c r="N17" s="18"/>
      <c r="O17" s="18"/>
      <c r="P17" s="34"/>
      <c r="Q17" s="18">
        <v>53</v>
      </c>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c r="Q19" s="18">
        <v>47.5</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2438.31</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600</v>
      </c>
      <c r="K25" s="58"/>
      <c r="L25" s="4"/>
      <c r="M25" s="33"/>
      <c r="N25" s="18"/>
      <c r="O25" s="18"/>
      <c r="P25" s="34"/>
      <c r="Q25" s="18"/>
      <c r="R25" s="30"/>
      <c r="S25" s="33"/>
      <c r="T25" s="4"/>
      <c r="U25" s="18"/>
      <c r="V25" s="35" t="s">
        <v>70</v>
      </c>
      <c r="W25" s="18">
        <v>10</v>
      </c>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77.179999999999993</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3" t="s">
        <v>74</v>
      </c>
      <c r="I30" s="264"/>
      <c r="J30" s="61">
        <f>J24-J25-J26-J27-J28-J29</f>
        <v>1761.1299999999999</v>
      </c>
      <c r="K30" s="260">
        <f>SUM(M7:M29)</f>
        <v>530</v>
      </c>
      <c r="L30" s="261"/>
      <c r="M30" s="262"/>
      <c r="N30" s="258">
        <f>SUM(O7:O29)</f>
        <v>136.30000000000001</v>
      </c>
      <c r="O30" s="259"/>
      <c r="P30" s="243">
        <f>SUM(Q7:Q29)</f>
        <v>344.8</v>
      </c>
      <c r="Q30" s="244"/>
      <c r="R30" s="241">
        <f>SUM(S7:S29)</f>
        <v>50</v>
      </c>
      <c r="S30" s="242"/>
      <c r="T30" s="239">
        <f>SUM(U7:U29)</f>
        <v>102.47</v>
      </c>
      <c r="U30" s="240"/>
      <c r="V30" s="237">
        <f>SUM(W7:W29)</f>
        <v>16</v>
      </c>
      <c r="W30" s="238"/>
      <c r="X30" s="233">
        <f>SUM(Y7:Y29)</f>
        <v>77.179999999999993</v>
      </c>
      <c r="Y30" s="234"/>
      <c r="Z30" s="18"/>
      <c r="AA30" s="4"/>
    </row>
    <row r="31" spans="3:29" ht="15.75">
      <c r="C31" s="98"/>
      <c r="D31" s="97"/>
      <c r="E31" s="97"/>
      <c r="F31" s="98"/>
      <c r="G31" s="4"/>
      <c r="H31" s="256" t="s">
        <v>29</v>
      </c>
      <c r="I31" s="257"/>
      <c r="J31" s="62">
        <f>J30-K32</f>
        <v>581.55999999999995</v>
      </c>
      <c r="K31" s="253">
        <f>SUM(K30:Q30)</f>
        <v>1011.0999999999999</v>
      </c>
      <c r="L31" s="254"/>
      <c r="M31" s="254"/>
      <c r="N31" s="254"/>
      <c r="O31" s="254"/>
      <c r="P31" s="254"/>
      <c r="Q31" s="255"/>
      <c r="R31" s="250">
        <f>R30+T30+V30</f>
        <v>168.47</v>
      </c>
      <c r="S31" s="251"/>
      <c r="T31" s="251"/>
      <c r="U31" s="251"/>
      <c r="V31" s="251"/>
      <c r="W31" s="252"/>
      <c r="X31" s="233"/>
      <c r="Y31" s="234"/>
      <c r="Z31" s="18"/>
      <c r="AA31" s="4"/>
    </row>
    <row r="32" spans="3:29" ht="18.75">
      <c r="C32" s="98"/>
      <c r="D32" s="97"/>
      <c r="E32" s="97"/>
      <c r="F32" s="98"/>
      <c r="G32" s="4"/>
      <c r="H32" s="4"/>
      <c r="I32" s="18"/>
      <c r="J32" s="31"/>
      <c r="K32" s="247">
        <f>K31+R31</f>
        <v>1179.57</v>
      </c>
      <c r="L32" s="248"/>
      <c r="M32" s="248"/>
      <c r="N32" s="248"/>
      <c r="O32" s="248"/>
      <c r="P32" s="248"/>
      <c r="Q32" s="248"/>
      <c r="R32" s="248"/>
      <c r="S32" s="248"/>
      <c r="T32" s="248"/>
      <c r="U32" s="248"/>
      <c r="V32" s="248"/>
      <c r="W32" s="249"/>
      <c r="X32" s="235"/>
      <c r="Y32" s="236"/>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H16:H17"/>
    <mergeCell ref="V30:W30"/>
    <mergeCell ref="X30:Y32"/>
    <mergeCell ref="H31:I31"/>
    <mergeCell ref="K31:Q31"/>
    <mergeCell ref="R31:W31"/>
    <mergeCell ref="K32:W32"/>
    <mergeCell ref="H30:I30"/>
    <mergeCell ref="K30:M30"/>
    <mergeCell ref="N30:O30"/>
    <mergeCell ref="P30:Q30"/>
    <mergeCell ref="R30:S30"/>
    <mergeCell ref="T30:U30"/>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4B97-C42E-48AC-AE7D-93C4B9DCBFB3}">
  <sheetPr>
    <tabColor theme="5" tint="0.79998168889431442"/>
  </sheetPr>
  <dimension ref="C3:AC44"/>
  <sheetViews>
    <sheetView topLeftCell="G2" workbookViewId="0">
      <selection activeCell="T20" sqref="T20"/>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207</v>
      </c>
      <c r="I4" s="210"/>
      <c r="J4" s="210"/>
      <c r="K4" s="210"/>
      <c r="L4" s="210"/>
      <c r="M4" s="210"/>
      <c r="N4" s="210"/>
      <c r="O4" s="210"/>
      <c r="P4" s="210"/>
      <c r="Q4" s="210"/>
      <c r="R4" s="210"/>
      <c r="S4" s="210"/>
      <c r="T4" s="210"/>
      <c r="U4" s="210"/>
      <c r="V4" s="210"/>
      <c r="W4" s="210"/>
      <c r="X4" s="210"/>
      <c r="Y4" s="211"/>
      <c r="Z4" s="8"/>
      <c r="AA4" s="4"/>
      <c r="AB4" s="212" t="s">
        <v>2</v>
      </c>
      <c r="AC4" s="213"/>
    </row>
    <row r="5" spans="3:29" ht="15.75">
      <c r="C5" s="5"/>
      <c r="D5" s="9" t="s">
        <v>3</v>
      </c>
      <c r="E5" s="10">
        <f>K31</f>
        <v>1041.56</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5.75">
      <c r="C6" s="5"/>
      <c r="D6" s="15" t="s">
        <v>13</v>
      </c>
      <c r="E6" s="16">
        <f>R31</f>
        <v>270.36</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1311.92</v>
      </c>
      <c r="F7" s="17"/>
      <c r="G7" s="18"/>
      <c r="H7" s="30"/>
      <c r="I7" s="18" t="s">
        <v>21</v>
      </c>
      <c r="J7" s="122">
        <v>600</v>
      </c>
      <c r="K7" s="32"/>
      <c r="L7" s="4" t="s">
        <v>22</v>
      </c>
      <c r="M7" s="33">
        <v>500</v>
      </c>
      <c r="N7" s="4" t="s">
        <v>208</v>
      </c>
      <c r="O7" s="33">
        <v>10.99</v>
      </c>
      <c r="P7" s="112"/>
      <c r="Q7" s="120">
        <v>33</v>
      </c>
      <c r="R7" s="30" t="s">
        <v>209</v>
      </c>
      <c r="S7" s="33">
        <v>48</v>
      </c>
      <c r="T7" s="4" t="s">
        <v>210</v>
      </c>
      <c r="U7" s="18">
        <v>18</v>
      </c>
      <c r="V7" s="35" t="s">
        <v>211</v>
      </c>
      <c r="W7" s="18">
        <v>6</v>
      </c>
      <c r="X7" s="36" t="s">
        <v>36</v>
      </c>
      <c r="Y7" s="17">
        <v>8.61</v>
      </c>
      <c r="Z7" s="18"/>
      <c r="AA7" s="4"/>
      <c r="AB7" s="13" t="s">
        <v>7</v>
      </c>
      <c r="AC7" s="14" t="s">
        <v>28</v>
      </c>
    </row>
    <row r="8" spans="3:29" ht="15.75">
      <c r="C8" s="5"/>
      <c r="D8" s="37" t="s">
        <v>29</v>
      </c>
      <c r="E8" s="38">
        <f>J31</f>
        <v>398.53</v>
      </c>
      <c r="F8" s="17"/>
      <c r="G8" s="18"/>
      <c r="H8" s="265" t="s">
        <v>30</v>
      </c>
      <c r="I8" s="18" t="s">
        <v>212</v>
      </c>
      <c r="J8" s="63">
        <v>456</v>
      </c>
      <c r="K8" s="32" t="s">
        <v>213</v>
      </c>
      <c r="L8" s="4" t="s">
        <v>32</v>
      </c>
      <c r="M8" s="33">
        <v>50</v>
      </c>
      <c r="N8" s="4" t="s">
        <v>23</v>
      </c>
      <c r="O8" s="18">
        <v>60</v>
      </c>
      <c r="P8" s="112"/>
      <c r="Q8" s="120">
        <v>1.59</v>
      </c>
      <c r="R8" s="30" t="s">
        <v>214</v>
      </c>
      <c r="S8" s="33">
        <v>8.1</v>
      </c>
      <c r="T8" s="4" t="s">
        <v>210</v>
      </c>
      <c r="U8" s="18">
        <v>35</v>
      </c>
      <c r="V8" s="119"/>
      <c r="W8" s="120">
        <v>1.5</v>
      </c>
      <c r="X8" s="36" t="s">
        <v>197</v>
      </c>
      <c r="Y8" s="17">
        <v>49</v>
      </c>
      <c r="Z8" s="18"/>
      <c r="AA8" s="4"/>
      <c r="AB8" s="67" t="s">
        <v>8</v>
      </c>
      <c r="AC8" s="68" t="s">
        <v>37</v>
      </c>
    </row>
    <row r="9" spans="3:29" ht="15.75">
      <c r="C9" s="5"/>
      <c r="D9" s="4"/>
      <c r="E9" s="39"/>
      <c r="F9" s="17"/>
      <c r="G9" s="18"/>
      <c r="H9" s="265"/>
      <c r="I9" s="18" t="s">
        <v>38</v>
      </c>
      <c r="J9" s="31">
        <v>65</v>
      </c>
      <c r="K9" s="32"/>
      <c r="L9" s="4" t="s">
        <v>39</v>
      </c>
      <c r="M9" s="33">
        <v>35</v>
      </c>
      <c r="N9" s="18" t="s">
        <v>23</v>
      </c>
      <c r="O9" s="18">
        <v>25</v>
      </c>
      <c r="P9" s="34"/>
      <c r="Q9" s="18">
        <v>3.8</v>
      </c>
      <c r="R9" s="132" t="s">
        <v>215</v>
      </c>
      <c r="S9" s="133">
        <v>26.3</v>
      </c>
      <c r="T9" s="4" t="s">
        <v>216</v>
      </c>
      <c r="U9" s="18">
        <v>4.5999999999999996</v>
      </c>
      <c r="V9" s="35"/>
      <c r="W9" s="18">
        <v>6.23</v>
      </c>
      <c r="X9" s="36" t="s">
        <v>164</v>
      </c>
      <c r="Y9" s="17">
        <v>24.94</v>
      </c>
      <c r="Z9" s="18"/>
      <c r="AA9" s="4"/>
      <c r="AB9" s="67" t="s">
        <v>42</v>
      </c>
      <c r="AC9" s="68" t="s">
        <v>43</v>
      </c>
    </row>
    <row r="10" spans="3:29" ht="15.75">
      <c r="C10" s="5"/>
      <c r="D10" s="4"/>
      <c r="E10" s="18"/>
      <c r="F10" s="17"/>
      <c r="G10" s="18"/>
      <c r="H10" s="266" t="s">
        <v>30</v>
      </c>
      <c r="I10" s="18" t="s">
        <v>217</v>
      </c>
      <c r="J10" s="31">
        <v>285</v>
      </c>
      <c r="K10" s="32"/>
      <c r="L10" s="4" t="s">
        <v>45</v>
      </c>
      <c r="M10" s="33"/>
      <c r="N10" s="18" t="s">
        <v>218</v>
      </c>
      <c r="O10" s="18">
        <v>7.47</v>
      </c>
      <c r="P10" s="112" t="s">
        <v>195</v>
      </c>
      <c r="Q10" s="113">
        <v>10.98</v>
      </c>
      <c r="R10" s="18"/>
      <c r="S10" s="33"/>
      <c r="T10" s="4" t="s">
        <v>219</v>
      </c>
      <c r="U10" s="18">
        <v>7.99</v>
      </c>
      <c r="V10" s="35"/>
      <c r="W10" s="18">
        <v>1.5</v>
      </c>
      <c r="X10" s="36"/>
      <c r="Y10" s="17"/>
      <c r="Z10" s="18"/>
      <c r="AA10" s="4"/>
      <c r="AB10" s="67" t="s">
        <v>10</v>
      </c>
      <c r="AC10" s="68" t="s">
        <v>49</v>
      </c>
    </row>
    <row r="11" spans="3:29" ht="15.75">
      <c r="C11" s="5"/>
      <c r="D11" s="231" t="s">
        <v>50</v>
      </c>
      <c r="E11" s="232"/>
      <c r="F11" s="17"/>
      <c r="G11" s="18"/>
      <c r="H11" s="266"/>
      <c r="I11" s="18" t="s">
        <v>38</v>
      </c>
      <c r="J11" s="31">
        <v>0</v>
      </c>
      <c r="K11" s="32"/>
      <c r="L11" s="4" t="s">
        <v>180</v>
      </c>
      <c r="M11" s="33"/>
      <c r="N11" s="120"/>
      <c r="O11" s="120"/>
      <c r="P11" s="112" t="s">
        <v>220</v>
      </c>
      <c r="Q11" s="113">
        <v>5.97</v>
      </c>
      <c r="R11" s="18"/>
      <c r="S11" s="33"/>
      <c r="T11" s="4" t="s">
        <v>221</v>
      </c>
      <c r="U11" s="18">
        <v>3.99</v>
      </c>
      <c r="V11" s="35"/>
      <c r="W11" s="18"/>
      <c r="X11" s="36"/>
      <c r="Y11" s="17"/>
      <c r="Z11" s="18"/>
      <c r="AA11" s="4"/>
      <c r="AB11" s="69" t="s">
        <v>54</v>
      </c>
      <c r="AC11" s="70" t="s">
        <v>55</v>
      </c>
    </row>
    <row r="12" spans="3:29" ht="15.75">
      <c r="C12" s="5"/>
      <c r="D12" s="42" t="s">
        <v>56</v>
      </c>
      <c r="E12" s="43">
        <v>3000</v>
      </c>
      <c r="F12" s="11"/>
      <c r="G12" s="12"/>
      <c r="H12" s="266" t="s">
        <v>30</v>
      </c>
      <c r="I12" s="18" t="s">
        <v>222</v>
      </c>
      <c r="J12" s="31">
        <v>414</v>
      </c>
      <c r="K12" s="32"/>
      <c r="L12" s="4"/>
      <c r="M12" s="33"/>
      <c r="N12" s="18"/>
      <c r="O12" s="18"/>
      <c r="P12" s="112" t="s">
        <v>223</v>
      </c>
      <c r="Q12" s="120">
        <v>61</v>
      </c>
      <c r="R12" s="30"/>
      <c r="S12" s="33"/>
      <c r="T12" s="4" t="s">
        <v>224</v>
      </c>
      <c r="U12" s="18">
        <v>1</v>
      </c>
      <c r="V12" s="35"/>
      <c r="W12" s="18"/>
      <c r="X12" s="36"/>
      <c r="Y12" s="17"/>
      <c r="Z12" s="18"/>
      <c r="AA12" s="4"/>
    </row>
    <row r="13" spans="3:29" ht="15.75">
      <c r="C13" s="5"/>
      <c r="D13" s="42" t="s">
        <v>61</v>
      </c>
      <c r="E13" s="17">
        <v>500</v>
      </c>
      <c r="F13" s="44"/>
      <c r="G13" s="39"/>
      <c r="H13" s="266"/>
      <c r="I13" s="18" t="s">
        <v>38</v>
      </c>
      <c r="J13" s="46"/>
      <c r="K13" s="47"/>
      <c r="L13" s="4"/>
      <c r="M13" s="33"/>
      <c r="N13" s="18"/>
      <c r="O13" s="18"/>
      <c r="P13" s="112" t="s">
        <v>195</v>
      </c>
      <c r="Q13" s="120">
        <v>100.14</v>
      </c>
      <c r="R13" s="30"/>
      <c r="S13" s="33"/>
      <c r="T13" s="4" t="s">
        <v>225</v>
      </c>
      <c r="U13" s="18">
        <v>33.15</v>
      </c>
      <c r="V13" s="35"/>
      <c r="W13" s="18"/>
      <c r="X13" s="36"/>
      <c r="Y13" s="17"/>
      <c r="Z13" s="18"/>
      <c r="AA13" s="4"/>
      <c r="AB13" s="4"/>
      <c r="AC13" s="4"/>
    </row>
    <row r="14" spans="3:29" ht="15.75">
      <c r="C14" s="5"/>
      <c r="D14" s="48" t="s">
        <v>20</v>
      </c>
      <c r="E14" s="49">
        <f>SUM(E12:E13)</f>
        <v>3500</v>
      </c>
      <c r="F14" s="50"/>
      <c r="G14" s="39"/>
      <c r="H14" s="267" t="s">
        <v>30</v>
      </c>
      <c r="I14" s="18" t="s">
        <v>226</v>
      </c>
      <c r="J14" s="46">
        <v>403</v>
      </c>
      <c r="K14" s="47"/>
      <c r="L14" s="4"/>
      <c r="M14" s="33"/>
      <c r="N14" s="18"/>
      <c r="O14" s="18"/>
      <c r="P14" s="112"/>
      <c r="Q14" s="120">
        <v>2.5</v>
      </c>
      <c r="R14" s="30"/>
      <c r="S14" s="33"/>
      <c r="T14" s="4" t="s">
        <v>227</v>
      </c>
      <c r="U14" s="18">
        <v>31</v>
      </c>
      <c r="V14" s="119"/>
      <c r="W14" s="120"/>
      <c r="X14" s="36"/>
      <c r="Y14" s="17"/>
      <c r="Z14" s="18"/>
      <c r="AA14" s="4"/>
      <c r="AB14" s="4"/>
      <c r="AC14" s="4"/>
    </row>
    <row r="15" spans="3:29" ht="15.75">
      <c r="C15" s="5"/>
      <c r="D15" s="2"/>
      <c r="E15" s="2"/>
      <c r="F15" s="44"/>
      <c r="G15" s="39"/>
      <c r="H15" s="267"/>
      <c r="I15" s="18" t="s">
        <v>38</v>
      </c>
      <c r="J15" s="46">
        <v>70</v>
      </c>
      <c r="K15" s="47"/>
      <c r="L15" s="4"/>
      <c r="M15" s="33"/>
      <c r="N15" s="18"/>
      <c r="O15" s="18"/>
      <c r="P15" s="112" t="s">
        <v>195</v>
      </c>
      <c r="Q15" s="120">
        <v>21.1</v>
      </c>
      <c r="R15" s="30"/>
      <c r="S15" s="33"/>
      <c r="T15" s="4" t="s">
        <v>228</v>
      </c>
      <c r="U15" s="18">
        <v>20</v>
      </c>
      <c r="V15" s="35"/>
      <c r="W15" s="18"/>
      <c r="X15" s="36"/>
      <c r="Y15" s="17"/>
      <c r="Z15" s="18"/>
      <c r="AA15" s="4"/>
      <c r="AB15" s="4"/>
      <c r="AC15" s="4"/>
    </row>
    <row r="16" spans="3:29" ht="15.75">
      <c r="C16" s="102"/>
      <c r="D16" s="103"/>
      <c r="E16" s="103"/>
      <c r="F16" s="104"/>
      <c r="G16" s="39"/>
      <c r="H16" s="268"/>
      <c r="I16" s="18"/>
      <c r="J16" s="31"/>
      <c r="K16" s="32"/>
      <c r="L16" s="4"/>
      <c r="M16" s="33"/>
      <c r="N16" s="18"/>
      <c r="O16" s="18"/>
      <c r="P16" s="112"/>
      <c r="Q16" s="120">
        <v>1.5</v>
      </c>
      <c r="R16" s="30"/>
      <c r="S16" s="33"/>
      <c r="T16" s="4"/>
      <c r="U16" s="18"/>
      <c r="V16" s="35"/>
      <c r="W16" s="18"/>
      <c r="X16" s="36"/>
      <c r="Y16" s="17"/>
      <c r="Z16" s="18"/>
      <c r="AA16" s="4"/>
      <c r="AB16" s="4"/>
      <c r="AC16" s="4"/>
    </row>
    <row r="17" spans="3:29" ht="15.75">
      <c r="C17" s="98"/>
      <c r="D17" s="71"/>
      <c r="E17" s="71"/>
      <c r="F17" s="100"/>
      <c r="G17" s="18"/>
      <c r="H17" s="268"/>
      <c r="I17" s="18"/>
      <c r="J17" s="52"/>
      <c r="K17" s="53"/>
      <c r="L17" s="4"/>
      <c r="M17" s="33"/>
      <c r="N17" s="18"/>
      <c r="O17" s="18"/>
      <c r="P17" s="112"/>
      <c r="Q17" s="120">
        <v>2</v>
      </c>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112" t="s">
        <v>229</v>
      </c>
      <c r="Q18" s="120">
        <v>70</v>
      </c>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112"/>
      <c r="Q19" s="120">
        <v>4</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112" t="s">
        <v>230</v>
      </c>
      <c r="Q20" s="120">
        <v>35.520000000000003</v>
      </c>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2293</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v>18</v>
      </c>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82.55</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98"/>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3" t="s">
        <v>74</v>
      </c>
      <c r="I30" s="264"/>
      <c r="J30" s="61">
        <f>J24-J25-J26-J27-J28-J29</f>
        <v>1710.45</v>
      </c>
      <c r="K30" s="260">
        <f>SUM(M7:M29)</f>
        <v>585</v>
      </c>
      <c r="L30" s="261"/>
      <c r="M30" s="262"/>
      <c r="N30" s="258">
        <f>SUM(O7:O29)</f>
        <v>103.46</v>
      </c>
      <c r="O30" s="259"/>
      <c r="P30" s="243">
        <f>SUM(Q7:Q29)</f>
        <v>353.1</v>
      </c>
      <c r="Q30" s="244"/>
      <c r="R30" s="241">
        <f>SUM(S7:S29)</f>
        <v>82.4</v>
      </c>
      <c r="S30" s="242"/>
      <c r="T30" s="239">
        <f>SUM(U7:U29)</f>
        <v>154.72999999999999</v>
      </c>
      <c r="U30" s="240"/>
      <c r="V30" s="237">
        <f>SUM(W7:W29)</f>
        <v>33.230000000000004</v>
      </c>
      <c r="W30" s="238"/>
      <c r="X30" s="233">
        <f>SUM(Y7:Y29)</f>
        <v>82.55</v>
      </c>
      <c r="Y30" s="234"/>
      <c r="Z30" s="18"/>
      <c r="AA30" s="4"/>
    </row>
    <row r="31" spans="3:29" ht="15.75">
      <c r="C31" s="98"/>
      <c r="D31" s="97"/>
      <c r="E31" s="97"/>
      <c r="F31" s="98"/>
      <c r="G31" s="4"/>
      <c r="H31" s="256" t="s">
        <v>29</v>
      </c>
      <c r="I31" s="257"/>
      <c r="J31" s="62">
        <f>J30-K32</f>
        <v>398.53</v>
      </c>
      <c r="K31" s="253">
        <f>SUM(K30:Q30)</f>
        <v>1041.56</v>
      </c>
      <c r="L31" s="254"/>
      <c r="M31" s="254"/>
      <c r="N31" s="254"/>
      <c r="O31" s="254"/>
      <c r="P31" s="254"/>
      <c r="Q31" s="255"/>
      <c r="R31" s="250">
        <f>R30+T30+V30</f>
        <v>270.36</v>
      </c>
      <c r="S31" s="251"/>
      <c r="T31" s="251"/>
      <c r="U31" s="251"/>
      <c r="V31" s="251"/>
      <c r="W31" s="252"/>
      <c r="X31" s="233"/>
      <c r="Y31" s="234"/>
      <c r="Z31" s="18"/>
      <c r="AA31" s="4"/>
    </row>
    <row r="32" spans="3:29" ht="18.75">
      <c r="C32" s="98"/>
      <c r="D32" s="97"/>
      <c r="E32" s="97"/>
      <c r="F32" s="98"/>
      <c r="G32" s="4"/>
      <c r="H32" s="4"/>
      <c r="I32" s="18"/>
      <c r="J32" s="31"/>
      <c r="K32" s="247">
        <f>K31+R31</f>
        <v>1311.92</v>
      </c>
      <c r="L32" s="248"/>
      <c r="M32" s="248"/>
      <c r="N32" s="248"/>
      <c r="O32" s="248"/>
      <c r="P32" s="248"/>
      <c r="Q32" s="248"/>
      <c r="R32" s="248"/>
      <c r="S32" s="248"/>
      <c r="T32" s="248"/>
      <c r="U32" s="248"/>
      <c r="V32" s="248"/>
      <c r="W32" s="249"/>
      <c r="X32" s="235"/>
      <c r="Y32" s="236"/>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H16:H17"/>
    <mergeCell ref="H30:I30"/>
    <mergeCell ref="K30:M30"/>
    <mergeCell ref="N30:O30"/>
    <mergeCell ref="P30:Q30"/>
    <mergeCell ref="T30:U30"/>
    <mergeCell ref="V30:W30"/>
    <mergeCell ref="X30:Y32"/>
    <mergeCell ref="H31:I31"/>
    <mergeCell ref="K31:Q31"/>
    <mergeCell ref="R31:W31"/>
    <mergeCell ref="K32:W32"/>
    <mergeCell ref="R30:S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0712C-41E8-4560-B6F5-F74818DE524F}">
  <sheetPr>
    <tabColor theme="5" tint="0.79998168889431442"/>
  </sheetPr>
  <dimension ref="C3:AC44"/>
  <sheetViews>
    <sheetView topLeftCell="D1" workbookViewId="0">
      <selection activeCell="V10" sqref="V10"/>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231</v>
      </c>
      <c r="I4" s="210"/>
      <c r="J4" s="210"/>
      <c r="K4" s="210"/>
      <c r="L4" s="210"/>
      <c r="M4" s="210"/>
      <c r="N4" s="210"/>
      <c r="O4" s="210"/>
      <c r="P4" s="210"/>
      <c r="Q4" s="210"/>
      <c r="R4" s="210"/>
      <c r="S4" s="210"/>
      <c r="T4" s="210"/>
      <c r="U4" s="210"/>
      <c r="V4" s="210"/>
      <c r="W4" s="210"/>
      <c r="X4" s="210"/>
      <c r="Y4" s="211"/>
      <c r="Z4" s="8"/>
      <c r="AA4" s="4"/>
      <c r="AB4" s="212" t="s">
        <v>2</v>
      </c>
      <c r="AC4" s="213"/>
    </row>
    <row r="5" spans="3:29" ht="15.75">
      <c r="C5" s="5"/>
      <c r="D5" s="9" t="s">
        <v>3</v>
      </c>
      <c r="E5" s="10">
        <f>K31</f>
        <v>706.85</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5.75">
      <c r="C6" s="5"/>
      <c r="D6" s="15" t="s">
        <v>13</v>
      </c>
      <c r="E6" s="16">
        <f>R31</f>
        <v>532.65</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1239.5</v>
      </c>
      <c r="F7" s="17"/>
      <c r="G7" s="18"/>
      <c r="H7" s="30"/>
      <c r="I7" s="18" t="s">
        <v>21</v>
      </c>
      <c r="J7" s="122">
        <v>398.15</v>
      </c>
      <c r="K7" s="32"/>
      <c r="L7" s="4" t="s">
        <v>22</v>
      </c>
      <c r="M7" s="33">
        <v>500</v>
      </c>
      <c r="N7" s="137" t="s">
        <v>232</v>
      </c>
      <c r="O7" s="133">
        <v>15</v>
      </c>
      <c r="P7" s="112"/>
      <c r="Q7" s="120">
        <v>5.56</v>
      </c>
      <c r="R7" s="30" t="s">
        <v>110</v>
      </c>
      <c r="S7" s="33">
        <v>50</v>
      </c>
      <c r="T7" s="4"/>
      <c r="U7" s="18">
        <v>1.75</v>
      </c>
      <c r="V7" s="35" t="s">
        <v>233</v>
      </c>
      <c r="W7" s="18">
        <v>6</v>
      </c>
      <c r="X7" s="36" t="s">
        <v>36</v>
      </c>
      <c r="Y7" s="17">
        <v>8.61</v>
      </c>
      <c r="Z7" s="18"/>
      <c r="AA7" s="4"/>
      <c r="AB7" s="13" t="s">
        <v>7</v>
      </c>
      <c r="AC7" s="14" t="s">
        <v>28</v>
      </c>
    </row>
    <row r="8" spans="3:29" ht="15.75">
      <c r="C8" s="5"/>
      <c r="D8" s="37" t="s">
        <v>29</v>
      </c>
      <c r="E8" s="38">
        <f>J31</f>
        <v>286.44000000000005</v>
      </c>
      <c r="F8" s="17"/>
      <c r="G8" s="18"/>
      <c r="H8" s="265" t="s">
        <v>30</v>
      </c>
      <c r="I8" s="18" t="s">
        <v>234</v>
      </c>
      <c r="J8" s="63">
        <v>300</v>
      </c>
      <c r="K8" s="32" t="s">
        <v>235</v>
      </c>
      <c r="L8" s="4" t="s">
        <v>32</v>
      </c>
      <c r="M8" s="33">
        <v>50</v>
      </c>
      <c r="N8" s="4"/>
      <c r="O8" s="18"/>
      <c r="P8" s="112"/>
      <c r="Q8" s="120">
        <v>4.3899999999999997</v>
      </c>
      <c r="R8" s="134" t="s">
        <v>236</v>
      </c>
      <c r="S8" s="131">
        <v>103</v>
      </c>
      <c r="T8" s="4" t="s">
        <v>237</v>
      </c>
      <c r="U8" s="18">
        <v>27.59</v>
      </c>
      <c r="V8" s="119" t="s">
        <v>238</v>
      </c>
      <c r="W8" s="120">
        <v>125</v>
      </c>
      <c r="X8" s="36" t="s">
        <v>197</v>
      </c>
      <c r="Y8" s="17">
        <v>43.82</v>
      </c>
      <c r="Z8" s="18"/>
      <c r="AA8" s="4"/>
      <c r="AB8" s="67" t="s">
        <v>8</v>
      </c>
      <c r="AC8" s="68" t="s">
        <v>37</v>
      </c>
    </row>
    <row r="9" spans="3:29" ht="15.75">
      <c r="C9" s="5"/>
      <c r="D9" s="4"/>
      <c r="E9" s="39"/>
      <c r="F9" s="17"/>
      <c r="G9" s="18"/>
      <c r="H9" s="265"/>
      <c r="I9" s="18" t="s">
        <v>38</v>
      </c>
      <c r="J9" s="31"/>
      <c r="K9" s="32"/>
      <c r="L9" s="4" t="s">
        <v>39</v>
      </c>
      <c r="M9" s="33">
        <v>35</v>
      </c>
      <c r="N9" s="18"/>
      <c r="O9" s="18"/>
      <c r="P9" s="34"/>
      <c r="Q9" s="18">
        <v>5.2</v>
      </c>
      <c r="R9" s="30"/>
      <c r="S9" s="33"/>
      <c r="T9" s="4"/>
      <c r="U9" s="18">
        <v>8.99</v>
      </c>
      <c r="V9" s="35" t="s">
        <v>239</v>
      </c>
      <c r="W9" s="18">
        <v>42.6</v>
      </c>
      <c r="X9" s="36" t="s">
        <v>164</v>
      </c>
      <c r="Y9" s="17">
        <v>24.78</v>
      </c>
      <c r="Z9" s="18"/>
      <c r="AA9" s="4"/>
      <c r="AB9" s="67" t="s">
        <v>42</v>
      </c>
      <c r="AC9" s="68" t="s">
        <v>43</v>
      </c>
    </row>
    <row r="10" spans="3:29" ht="15.75">
      <c r="C10" s="5"/>
      <c r="D10" s="4"/>
      <c r="E10" s="18"/>
      <c r="F10" s="17"/>
      <c r="G10" s="18"/>
      <c r="H10" s="266" t="s">
        <v>30</v>
      </c>
      <c r="I10" s="18" t="s">
        <v>240</v>
      </c>
      <c r="J10" s="31">
        <v>309</v>
      </c>
      <c r="K10" s="32"/>
      <c r="L10" s="4" t="s">
        <v>45</v>
      </c>
      <c r="M10" s="33"/>
      <c r="N10" s="18"/>
      <c r="O10" s="18"/>
      <c r="P10" s="34"/>
      <c r="Q10" s="41">
        <v>10.7</v>
      </c>
      <c r="R10" s="18"/>
      <c r="S10" s="33"/>
      <c r="T10" s="4" t="s">
        <v>241</v>
      </c>
      <c r="U10" s="18">
        <v>55</v>
      </c>
      <c r="V10" s="35" t="s">
        <v>242</v>
      </c>
      <c r="W10" s="18">
        <v>3.5</v>
      </c>
      <c r="X10" s="36"/>
      <c r="Y10" s="17"/>
      <c r="Z10" s="18"/>
      <c r="AA10" s="4"/>
      <c r="AB10" s="67" t="s">
        <v>10</v>
      </c>
      <c r="AC10" s="68" t="s">
        <v>49</v>
      </c>
    </row>
    <row r="11" spans="3:29" ht="15.75">
      <c r="C11" s="5"/>
      <c r="D11" s="231" t="s">
        <v>50</v>
      </c>
      <c r="E11" s="232"/>
      <c r="F11" s="17"/>
      <c r="G11" s="18"/>
      <c r="H11" s="266"/>
      <c r="I11" s="18" t="s">
        <v>38</v>
      </c>
      <c r="J11" s="31">
        <v>38</v>
      </c>
      <c r="K11" s="32"/>
      <c r="L11" s="4" t="s">
        <v>180</v>
      </c>
      <c r="M11" s="33">
        <v>25</v>
      </c>
      <c r="N11" s="120"/>
      <c r="O11" s="120"/>
      <c r="P11" s="112"/>
      <c r="Q11" s="113">
        <v>8</v>
      </c>
      <c r="R11" s="18"/>
      <c r="S11" s="33"/>
      <c r="T11" s="4" t="s">
        <v>243</v>
      </c>
      <c r="U11" s="18">
        <v>2.99</v>
      </c>
      <c r="V11" s="35" t="s">
        <v>244</v>
      </c>
      <c r="W11" s="18">
        <v>10</v>
      </c>
      <c r="X11" s="36"/>
      <c r="Y11" s="17"/>
      <c r="Z11" s="18"/>
      <c r="AA11" s="4"/>
      <c r="AB11" s="69" t="s">
        <v>54</v>
      </c>
      <c r="AC11" s="70" t="s">
        <v>55</v>
      </c>
    </row>
    <row r="12" spans="3:29" ht="15.75">
      <c r="C12" s="5"/>
      <c r="D12" s="42" t="s">
        <v>56</v>
      </c>
      <c r="E12" s="43">
        <v>3500</v>
      </c>
      <c r="F12" s="11"/>
      <c r="G12" s="12"/>
      <c r="H12" s="266" t="s">
        <v>30</v>
      </c>
      <c r="I12" s="18" t="s">
        <v>245</v>
      </c>
      <c r="J12" s="31">
        <v>442</v>
      </c>
      <c r="K12" s="32"/>
      <c r="L12" s="4"/>
      <c r="M12" s="33"/>
      <c r="N12" s="18"/>
      <c r="O12" s="18"/>
      <c r="P12" s="34"/>
      <c r="Q12" s="120">
        <v>19</v>
      </c>
      <c r="R12" s="30"/>
      <c r="S12" s="33"/>
      <c r="T12" s="4" t="s">
        <v>246</v>
      </c>
      <c r="U12" s="18">
        <v>14.99</v>
      </c>
      <c r="V12" s="35" t="s">
        <v>247</v>
      </c>
      <c r="W12" s="18">
        <v>23.2</v>
      </c>
      <c r="X12" s="36"/>
      <c r="Y12" s="17"/>
      <c r="Z12" s="18"/>
      <c r="AA12" s="4"/>
    </row>
    <row r="13" spans="3:29" ht="15.75">
      <c r="C13" s="5"/>
      <c r="D13" s="42" t="s">
        <v>61</v>
      </c>
      <c r="E13" s="17">
        <v>500</v>
      </c>
      <c r="F13" s="44"/>
      <c r="G13" s="39"/>
      <c r="H13" s="266"/>
      <c r="I13" s="18" t="s">
        <v>38</v>
      </c>
      <c r="J13" s="46"/>
      <c r="K13" s="47"/>
      <c r="L13" s="4"/>
      <c r="M13" s="33"/>
      <c r="N13" s="18"/>
      <c r="O13" s="18"/>
      <c r="P13" s="34"/>
      <c r="Q13" s="120">
        <v>25</v>
      </c>
      <c r="R13" s="30"/>
      <c r="S13" s="33"/>
      <c r="T13" s="4" t="s">
        <v>248</v>
      </c>
      <c r="U13" s="18">
        <v>5.65</v>
      </c>
      <c r="V13" s="35" t="s">
        <v>249</v>
      </c>
      <c r="W13" s="18">
        <v>3.4</v>
      </c>
      <c r="X13" s="36"/>
      <c r="Y13" s="17"/>
      <c r="Z13" s="18"/>
      <c r="AA13" s="4"/>
      <c r="AB13" s="4"/>
      <c r="AC13" s="4"/>
    </row>
    <row r="14" spans="3:29" ht="15.75">
      <c r="C14" s="5"/>
      <c r="D14" s="48" t="s">
        <v>20</v>
      </c>
      <c r="E14" s="49">
        <f>SUM(E12:E13)</f>
        <v>4000</v>
      </c>
      <c r="F14" s="50"/>
      <c r="G14" s="39"/>
      <c r="H14" s="267" t="s">
        <v>30</v>
      </c>
      <c r="I14" s="18" t="s">
        <v>250</v>
      </c>
      <c r="J14" s="46">
        <v>466</v>
      </c>
      <c r="K14" s="47"/>
      <c r="L14" s="4"/>
      <c r="M14" s="33"/>
      <c r="N14" s="18"/>
      <c r="O14" s="18"/>
      <c r="P14" s="34"/>
      <c r="Q14" s="18">
        <v>4</v>
      </c>
      <c r="R14" s="30"/>
      <c r="S14" s="33"/>
      <c r="T14" s="4" t="s">
        <v>251</v>
      </c>
      <c r="U14" s="18">
        <v>35</v>
      </c>
      <c r="V14" s="119"/>
      <c r="W14" s="120"/>
      <c r="X14" s="36"/>
      <c r="Y14" s="17"/>
      <c r="Z14" s="18"/>
      <c r="AA14" s="4"/>
      <c r="AB14" s="4"/>
      <c r="AC14" s="4"/>
    </row>
    <row r="15" spans="3:29" ht="15.75">
      <c r="C15" s="5"/>
      <c r="D15" s="2"/>
      <c r="E15" s="2"/>
      <c r="F15" s="44"/>
      <c r="G15" s="39"/>
      <c r="H15" s="267"/>
      <c r="I15" s="18" t="s">
        <v>38</v>
      </c>
      <c r="J15" s="46"/>
      <c r="K15" s="47"/>
      <c r="L15" s="4"/>
      <c r="M15" s="33"/>
      <c r="N15" s="18"/>
      <c r="O15" s="18"/>
      <c r="P15" s="34"/>
      <c r="Q15" s="18"/>
      <c r="R15" s="30"/>
      <c r="S15" s="33"/>
      <c r="T15" s="4" t="s">
        <v>252</v>
      </c>
      <c r="U15" s="18">
        <v>9.99</v>
      </c>
      <c r="V15" s="35"/>
      <c r="W15" s="18"/>
      <c r="X15" s="36"/>
      <c r="Y15" s="17"/>
      <c r="Z15" s="18"/>
      <c r="AA15" s="4"/>
      <c r="AB15" s="4"/>
      <c r="AC15" s="4"/>
    </row>
    <row r="16" spans="3:29" ht="15.75">
      <c r="C16" s="102"/>
      <c r="D16" s="103"/>
      <c r="E16" s="103"/>
      <c r="F16" s="104"/>
      <c r="G16" s="39"/>
      <c r="H16" s="268"/>
      <c r="I16" s="18" t="s">
        <v>253</v>
      </c>
      <c r="J16" s="31">
        <v>150</v>
      </c>
      <c r="K16" s="32"/>
      <c r="L16" s="4"/>
      <c r="M16" s="33"/>
      <c r="N16" s="18"/>
      <c r="O16" s="18"/>
      <c r="P16" s="34"/>
      <c r="Q16" s="18"/>
      <c r="R16" s="30"/>
      <c r="S16" s="33"/>
      <c r="T16" s="4"/>
      <c r="U16" s="18"/>
      <c r="V16" s="35"/>
      <c r="W16" s="18"/>
      <c r="X16" s="36"/>
      <c r="Y16" s="17"/>
      <c r="Z16" s="18"/>
      <c r="AA16" s="4"/>
      <c r="AB16" s="4"/>
      <c r="AC16" s="4"/>
    </row>
    <row r="17" spans="3:29" ht="15.75">
      <c r="C17" s="98"/>
      <c r="D17" s="71"/>
      <c r="E17" s="71"/>
      <c r="F17" s="100"/>
      <c r="G17" s="18"/>
      <c r="H17" s="268"/>
      <c r="I17" s="18"/>
      <c r="J17" s="52"/>
      <c r="K17" s="53"/>
      <c r="L17" s="4"/>
      <c r="M17" s="33"/>
      <c r="N17" s="18"/>
      <c r="O17" s="18"/>
      <c r="P17" s="34"/>
      <c r="Q17" s="18"/>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c r="Q19" s="18"/>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2103.15</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v>4</v>
      </c>
      <c r="X25" s="36"/>
      <c r="Y25" s="17"/>
      <c r="Z25" s="18"/>
      <c r="AA25" s="4"/>
      <c r="AB25" s="18"/>
      <c r="AC25" s="4"/>
    </row>
    <row r="26" spans="3:29" ht="15.75">
      <c r="C26" s="98"/>
      <c r="D26" s="4"/>
      <c r="E26" s="100"/>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4"/>
      <c r="E27" s="100"/>
      <c r="G27" s="4"/>
      <c r="H27" s="40"/>
      <c r="I27" s="65" t="s">
        <v>11</v>
      </c>
      <c r="J27" s="66">
        <f>X30</f>
        <v>77.210000000000008</v>
      </c>
      <c r="K27" s="32"/>
      <c r="L27" s="4"/>
      <c r="M27" s="33"/>
      <c r="N27" s="18"/>
      <c r="O27" s="18"/>
      <c r="P27" s="34"/>
      <c r="Q27" s="18"/>
      <c r="R27" s="30"/>
      <c r="S27" s="33"/>
      <c r="T27" s="4"/>
      <c r="U27" s="18"/>
      <c r="V27" s="35"/>
      <c r="W27" s="18"/>
      <c r="X27" s="36"/>
      <c r="Y27" s="17"/>
      <c r="Z27" s="18"/>
      <c r="AA27" s="4"/>
      <c r="AB27" s="4"/>
      <c r="AC27" s="4"/>
    </row>
    <row r="28" spans="3:29" ht="15.75">
      <c r="C28" s="98"/>
      <c r="D28" s="4"/>
      <c r="E28" s="100"/>
      <c r="G28" s="4"/>
      <c r="H28" s="40"/>
      <c r="I28" s="4" t="s">
        <v>72</v>
      </c>
      <c r="J28" s="31">
        <v>0</v>
      </c>
      <c r="K28" s="32"/>
      <c r="L28" s="4"/>
      <c r="M28" s="33"/>
      <c r="N28" s="18"/>
      <c r="O28" s="18"/>
      <c r="P28" s="34"/>
      <c r="Q28" s="18"/>
      <c r="R28" s="30"/>
      <c r="S28" s="33"/>
      <c r="T28" s="4"/>
      <c r="U28" s="18"/>
      <c r="V28" s="35"/>
      <c r="W28" s="18"/>
      <c r="X28" s="36"/>
      <c r="Y28" s="17"/>
      <c r="Z28" s="18"/>
      <c r="AA28" s="4"/>
    </row>
    <row r="29" spans="3:29" ht="15.75">
      <c r="C29" s="98"/>
      <c r="D29" s="4"/>
      <c r="E29" s="100"/>
      <c r="G29" s="4"/>
      <c r="H29" s="40"/>
      <c r="I29" s="4" t="s">
        <v>73</v>
      </c>
      <c r="J29" s="31">
        <v>0</v>
      </c>
      <c r="K29" s="32"/>
      <c r="L29" s="4"/>
      <c r="M29" s="33"/>
      <c r="N29" s="18"/>
      <c r="O29" s="18"/>
      <c r="P29" s="34"/>
      <c r="Q29" s="18"/>
      <c r="R29" s="30"/>
      <c r="S29" s="33"/>
      <c r="T29" s="4"/>
      <c r="U29" s="18"/>
      <c r="V29" s="35"/>
      <c r="W29" s="18"/>
      <c r="X29" s="36"/>
      <c r="Y29" s="17"/>
      <c r="Z29" s="18"/>
      <c r="AA29" s="4"/>
    </row>
    <row r="30" spans="3:29" ht="15.75">
      <c r="C30" s="98"/>
      <c r="D30" s="97"/>
      <c r="E30" s="97"/>
      <c r="F30" s="98"/>
      <c r="G30" s="4"/>
      <c r="H30" s="263" t="s">
        <v>74</v>
      </c>
      <c r="I30" s="264"/>
      <c r="J30" s="61">
        <f>J24-J25-J26-J27-J28-J29</f>
        <v>1525.94</v>
      </c>
      <c r="K30" s="260">
        <f>SUM(M7:M29)</f>
        <v>610</v>
      </c>
      <c r="L30" s="261"/>
      <c r="M30" s="262"/>
      <c r="N30" s="258">
        <f>SUM(O7:O29)</f>
        <v>15</v>
      </c>
      <c r="O30" s="259"/>
      <c r="P30" s="243">
        <f>SUM(Q7:Q29)</f>
        <v>81.849999999999994</v>
      </c>
      <c r="Q30" s="244"/>
      <c r="R30" s="241">
        <f>SUM(S7:S29)</f>
        <v>153</v>
      </c>
      <c r="S30" s="242"/>
      <c r="T30" s="239">
        <f>SUM(U7:U29)</f>
        <v>161.94999999999999</v>
      </c>
      <c r="U30" s="240"/>
      <c r="V30" s="237">
        <f>SUM(W7:W29)</f>
        <v>217.7</v>
      </c>
      <c r="W30" s="238"/>
      <c r="X30" s="233">
        <f>SUM(Y7:Y29)</f>
        <v>77.210000000000008</v>
      </c>
      <c r="Y30" s="234"/>
      <c r="Z30" s="18"/>
      <c r="AA30" s="4"/>
    </row>
    <row r="31" spans="3:29" ht="15.75">
      <c r="C31" s="98"/>
      <c r="D31" s="97"/>
      <c r="E31" s="97"/>
      <c r="F31" s="98"/>
      <c r="G31" s="4"/>
      <c r="H31" s="256" t="s">
        <v>254</v>
      </c>
      <c r="I31" s="257"/>
      <c r="J31" s="62">
        <f>J30-K32</f>
        <v>286.44000000000005</v>
      </c>
      <c r="K31" s="253">
        <f>SUM(K30:Q30)</f>
        <v>706.85</v>
      </c>
      <c r="L31" s="254"/>
      <c r="M31" s="254"/>
      <c r="N31" s="254"/>
      <c r="O31" s="254"/>
      <c r="P31" s="254"/>
      <c r="Q31" s="255"/>
      <c r="R31" s="250">
        <f>R30+T30+V30</f>
        <v>532.65</v>
      </c>
      <c r="S31" s="251"/>
      <c r="T31" s="251"/>
      <c r="U31" s="251"/>
      <c r="V31" s="251"/>
      <c r="W31" s="252"/>
      <c r="X31" s="233"/>
      <c r="Y31" s="234"/>
      <c r="Z31" s="18"/>
      <c r="AA31" s="4"/>
    </row>
    <row r="32" spans="3:29" ht="18.75">
      <c r="C32" s="98"/>
      <c r="D32" s="97"/>
      <c r="E32" s="97"/>
      <c r="F32" s="98"/>
      <c r="G32" s="4"/>
      <c r="H32" s="4"/>
      <c r="I32" s="18"/>
      <c r="J32" s="31"/>
      <c r="K32" s="247">
        <f>K31+R31</f>
        <v>1239.5</v>
      </c>
      <c r="L32" s="248"/>
      <c r="M32" s="248"/>
      <c r="N32" s="248"/>
      <c r="O32" s="248"/>
      <c r="P32" s="248"/>
      <c r="Q32" s="248"/>
      <c r="R32" s="248"/>
      <c r="S32" s="248"/>
      <c r="T32" s="248"/>
      <c r="U32" s="248"/>
      <c r="V32" s="248"/>
      <c r="W32" s="249"/>
      <c r="X32" s="235"/>
      <c r="Y32" s="236"/>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H16:H17"/>
    <mergeCell ref="H30:I30"/>
    <mergeCell ref="K30:M30"/>
    <mergeCell ref="N30:O30"/>
    <mergeCell ref="P30:Q30"/>
    <mergeCell ref="T30:U30"/>
    <mergeCell ref="V30:W30"/>
    <mergeCell ref="X30:Y32"/>
    <mergeCell ref="H31:I31"/>
    <mergeCell ref="K31:Q31"/>
    <mergeCell ref="R31:W31"/>
    <mergeCell ref="K32:W32"/>
    <mergeCell ref="R30:S3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D65FA-8742-4880-92C3-50E785D1B93B}">
  <sheetPr>
    <tabColor theme="5" tint="0.79998168889431442"/>
  </sheetPr>
  <dimension ref="C3:AC44"/>
  <sheetViews>
    <sheetView topLeftCell="D3" workbookViewId="0">
      <selection activeCell="W7" sqref="W7"/>
    </sheetView>
  </sheetViews>
  <sheetFormatPr defaultRowHeight="15"/>
  <cols>
    <col min="4" max="4" width="26" customWidth="1"/>
    <col min="5" max="5" width="16.42578125" customWidth="1"/>
    <col min="6" max="6" width="10.28515625" bestFit="1" customWidth="1"/>
    <col min="9" max="9" width="22.85546875"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4" max="24" width="19.140625" customWidth="1"/>
    <col min="28" max="28" width="22.28515625" customWidth="1"/>
    <col min="29" max="29" width="93.7109375" customWidth="1"/>
  </cols>
  <sheetData>
    <row r="3" spans="3:29" ht="15.75">
      <c r="C3" s="1"/>
      <c r="D3" s="2"/>
      <c r="E3" s="2"/>
      <c r="F3" s="3"/>
      <c r="G3" s="4"/>
      <c r="H3" s="4"/>
      <c r="I3" s="4"/>
      <c r="J3" s="4"/>
      <c r="K3" s="4"/>
      <c r="L3" s="4"/>
      <c r="M3" s="4"/>
      <c r="N3" s="4"/>
      <c r="O3" s="4"/>
      <c r="P3" s="4"/>
      <c r="Q3" s="4"/>
      <c r="R3" s="4"/>
      <c r="S3" s="4"/>
      <c r="T3" s="4"/>
      <c r="U3" s="4"/>
      <c r="V3" s="4"/>
      <c r="W3" s="4"/>
      <c r="X3" s="4"/>
      <c r="Y3" s="4"/>
      <c r="Z3" s="4"/>
      <c r="AA3" s="4"/>
      <c r="AB3" s="4"/>
      <c r="AC3" s="4"/>
    </row>
    <row r="4" spans="3:29" ht="21">
      <c r="C4" s="5"/>
      <c r="D4" s="207" t="s">
        <v>0</v>
      </c>
      <c r="E4" s="208"/>
      <c r="F4" s="6"/>
      <c r="G4" s="7"/>
      <c r="H4" s="209" t="s">
        <v>255</v>
      </c>
      <c r="I4" s="210"/>
      <c r="J4" s="210"/>
      <c r="K4" s="210"/>
      <c r="L4" s="210"/>
      <c r="M4" s="210"/>
      <c r="N4" s="210"/>
      <c r="O4" s="210"/>
      <c r="P4" s="210"/>
      <c r="Q4" s="210"/>
      <c r="R4" s="210"/>
      <c r="S4" s="210"/>
      <c r="T4" s="210"/>
      <c r="U4" s="210"/>
      <c r="V4" s="210"/>
      <c r="W4" s="210"/>
      <c r="X4" s="210"/>
      <c r="Y4" s="211"/>
      <c r="Z4" s="8"/>
      <c r="AA4" s="4"/>
      <c r="AB4" s="212" t="s">
        <v>2</v>
      </c>
      <c r="AC4" s="213"/>
    </row>
    <row r="5" spans="3:29" ht="15.75">
      <c r="C5" s="5"/>
      <c r="D5" s="9" t="s">
        <v>3</v>
      </c>
      <c r="E5" s="10">
        <f>K31</f>
        <v>846.88</v>
      </c>
      <c r="F5" s="11"/>
      <c r="G5" s="12"/>
      <c r="H5" s="214" t="s">
        <v>4</v>
      </c>
      <c r="I5" s="215"/>
      <c r="J5" s="216"/>
      <c r="K5" s="217" t="s">
        <v>5</v>
      </c>
      <c r="L5" s="218"/>
      <c r="M5" s="219"/>
      <c r="N5" s="220" t="s">
        <v>6</v>
      </c>
      <c r="O5" s="221"/>
      <c r="P5" s="222" t="s">
        <v>7</v>
      </c>
      <c r="Q5" s="223"/>
      <c r="R5" s="224" t="s">
        <v>8</v>
      </c>
      <c r="S5" s="225"/>
      <c r="T5" s="226" t="s">
        <v>9</v>
      </c>
      <c r="U5" s="227"/>
      <c r="V5" s="228" t="s">
        <v>10</v>
      </c>
      <c r="W5" s="227"/>
      <c r="X5" s="229" t="s">
        <v>11</v>
      </c>
      <c r="Y5" s="230"/>
      <c r="Z5" s="12"/>
      <c r="AA5" s="4"/>
      <c r="AB5" s="13" t="s">
        <v>5</v>
      </c>
      <c r="AC5" s="14" t="s">
        <v>12</v>
      </c>
    </row>
    <row r="6" spans="3:29" ht="15.75">
      <c r="C6" s="5"/>
      <c r="D6" s="15" t="s">
        <v>13</v>
      </c>
      <c r="E6" s="16">
        <f>R31</f>
        <v>522.63</v>
      </c>
      <c r="F6" s="17"/>
      <c r="G6" s="18"/>
      <c r="H6" s="19" t="s">
        <v>14</v>
      </c>
      <c r="I6" s="20" t="s">
        <v>15</v>
      </c>
      <c r="J6" s="20" t="s">
        <v>16</v>
      </c>
      <c r="K6" s="21" t="s">
        <v>14</v>
      </c>
      <c r="L6" s="22" t="s">
        <v>17</v>
      </c>
      <c r="M6" s="23" t="s">
        <v>16</v>
      </c>
      <c r="N6" s="22" t="s">
        <v>17</v>
      </c>
      <c r="O6" s="22" t="s">
        <v>16</v>
      </c>
      <c r="P6" s="24" t="s">
        <v>17</v>
      </c>
      <c r="Q6" s="22" t="s">
        <v>16</v>
      </c>
      <c r="R6" s="25" t="s">
        <v>17</v>
      </c>
      <c r="S6" s="23" t="s">
        <v>16</v>
      </c>
      <c r="T6" s="22" t="s">
        <v>17</v>
      </c>
      <c r="U6" s="22" t="s">
        <v>16</v>
      </c>
      <c r="V6" s="24" t="s">
        <v>17</v>
      </c>
      <c r="W6" s="22" t="s">
        <v>16</v>
      </c>
      <c r="X6" s="26" t="s">
        <v>17</v>
      </c>
      <c r="Y6" s="27" t="s">
        <v>16</v>
      </c>
      <c r="Z6" s="22"/>
      <c r="AA6" s="4"/>
      <c r="AB6" s="13" t="s">
        <v>18</v>
      </c>
      <c r="AC6" s="14" t="s">
        <v>19</v>
      </c>
    </row>
    <row r="7" spans="3:29" ht="15.75">
      <c r="C7" s="5"/>
      <c r="D7" s="28" t="s">
        <v>20</v>
      </c>
      <c r="E7" s="29">
        <f>E6+E5</f>
        <v>1369.51</v>
      </c>
      <c r="F7" s="17"/>
      <c r="G7" s="18"/>
      <c r="H7" s="30"/>
      <c r="I7" s="18" t="s">
        <v>21</v>
      </c>
      <c r="J7" s="122">
        <v>303</v>
      </c>
      <c r="K7" s="32" t="s">
        <v>256</v>
      </c>
      <c r="L7" s="4" t="s">
        <v>22</v>
      </c>
      <c r="M7" s="33">
        <v>500</v>
      </c>
      <c r="N7" s="4" t="s">
        <v>257</v>
      </c>
      <c r="O7" s="33">
        <v>7.49</v>
      </c>
      <c r="P7" s="112"/>
      <c r="Q7" s="120">
        <v>41.33</v>
      </c>
      <c r="R7" s="30" t="s">
        <v>258</v>
      </c>
      <c r="S7" s="33">
        <v>13</v>
      </c>
      <c r="T7" s="4" t="s">
        <v>210</v>
      </c>
      <c r="U7" s="18">
        <v>34.99</v>
      </c>
      <c r="V7" s="135" t="s">
        <v>259</v>
      </c>
      <c r="W7" s="136">
        <v>42</v>
      </c>
      <c r="X7" s="36" t="s">
        <v>36</v>
      </c>
      <c r="Y7" s="17">
        <v>8.61</v>
      </c>
      <c r="Z7" s="18"/>
      <c r="AA7" s="4"/>
      <c r="AB7" s="13" t="s">
        <v>7</v>
      </c>
      <c r="AC7" s="14" t="s">
        <v>28</v>
      </c>
    </row>
    <row r="8" spans="3:29" ht="15.75">
      <c r="C8" s="5"/>
      <c r="D8" s="37" t="s">
        <v>29</v>
      </c>
      <c r="E8" s="38">
        <f>J31</f>
        <v>480.31999999999994</v>
      </c>
      <c r="F8" s="17"/>
      <c r="G8" s="18"/>
      <c r="H8" s="265" t="s">
        <v>30</v>
      </c>
      <c r="I8" s="18" t="s">
        <v>260</v>
      </c>
      <c r="J8" s="63">
        <v>445</v>
      </c>
      <c r="K8" s="32" t="s">
        <v>261</v>
      </c>
      <c r="L8" s="4" t="s">
        <v>32</v>
      </c>
      <c r="M8" s="33">
        <v>50</v>
      </c>
      <c r="N8" s="4"/>
      <c r="O8" s="18"/>
      <c r="P8" s="112"/>
      <c r="Q8" s="120">
        <v>37.1</v>
      </c>
      <c r="R8" s="30" t="s">
        <v>262</v>
      </c>
      <c r="S8" s="33">
        <v>22.5</v>
      </c>
      <c r="T8" s="4" t="s">
        <v>263</v>
      </c>
      <c r="U8" s="18">
        <v>39.479999999999997</v>
      </c>
      <c r="V8" s="119" t="s">
        <v>211</v>
      </c>
      <c r="W8" s="120">
        <v>6</v>
      </c>
      <c r="X8" s="36" t="s">
        <v>264</v>
      </c>
      <c r="Y8" s="17">
        <v>12.56</v>
      </c>
      <c r="Z8" s="18"/>
      <c r="AA8" s="4"/>
      <c r="AB8" s="67" t="s">
        <v>8</v>
      </c>
      <c r="AC8" s="68" t="s">
        <v>37</v>
      </c>
    </row>
    <row r="9" spans="3:29" ht="15.75">
      <c r="C9" s="5"/>
      <c r="D9" s="4"/>
      <c r="E9" s="39"/>
      <c r="F9" s="17"/>
      <c r="G9" s="18"/>
      <c r="H9" s="265"/>
      <c r="I9" s="18" t="s">
        <v>38</v>
      </c>
      <c r="J9" s="31"/>
      <c r="K9" s="32" t="s">
        <v>265</v>
      </c>
      <c r="L9" s="4" t="s">
        <v>39</v>
      </c>
      <c r="M9" s="33">
        <v>35</v>
      </c>
      <c r="N9" s="18"/>
      <c r="O9" s="18"/>
      <c r="P9" s="34"/>
      <c r="Q9" s="18">
        <v>43.42</v>
      </c>
      <c r="R9" s="30"/>
      <c r="S9" s="33"/>
      <c r="T9" s="4" t="s">
        <v>266</v>
      </c>
      <c r="U9" s="18">
        <v>17</v>
      </c>
      <c r="V9" s="35"/>
      <c r="W9" s="18">
        <v>3.6</v>
      </c>
      <c r="X9" s="36"/>
      <c r="Y9" s="17"/>
      <c r="Z9" s="18"/>
      <c r="AA9" s="4"/>
      <c r="AB9" s="67" t="s">
        <v>42</v>
      </c>
      <c r="AC9" s="68" t="s">
        <v>43</v>
      </c>
    </row>
    <row r="10" spans="3:29" ht="15.75">
      <c r="C10" s="5"/>
      <c r="D10" s="4"/>
      <c r="E10" s="18"/>
      <c r="F10" s="17"/>
      <c r="G10" s="18"/>
      <c r="H10" s="266" t="s">
        <v>30</v>
      </c>
      <c r="I10" s="18" t="s">
        <v>267</v>
      </c>
      <c r="J10" s="31">
        <v>382</v>
      </c>
      <c r="K10" s="32"/>
      <c r="L10" s="4" t="s">
        <v>45</v>
      </c>
      <c r="M10" s="33">
        <v>23</v>
      </c>
      <c r="N10" s="18"/>
      <c r="O10" s="18"/>
      <c r="P10" s="34"/>
      <c r="Q10" s="41">
        <v>13.51</v>
      </c>
      <c r="R10" s="18"/>
      <c r="S10" s="33"/>
      <c r="T10" s="4" t="s">
        <v>268</v>
      </c>
      <c r="U10" s="18">
        <v>54.99</v>
      </c>
      <c r="V10" s="35"/>
      <c r="W10" s="18">
        <v>3.6</v>
      </c>
      <c r="X10" s="36"/>
      <c r="Y10" s="17"/>
      <c r="Z10" s="18"/>
      <c r="AA10" s="4"/>
      <c r="AB10" s="67" t="s">
        <v>10</v>
      </c>
      <c r="AC10" s="68" t="s">
        <v>49</v>
      </c>
    </row>
    <row r="11" spans="3:29" ht="15.75">
      <c r="C11" s="5"/>
      <c r="D11" s="231" t="s">
        <v>50</v>
      </c>
      <c r="E11" s="232"/>
      <c r="F11" s="17"/>
      <c r="G11" s="18"/>
      <c r="H11" s="266"/>
      <c r="I11" s="18" t="s">
        <v>38</v>
      </c>
      <c r="J11" s="31"/>
      <c r="K11" s="32"/>
      <c r="L11" s="4" t="s">
        <v>180</v>
      </c>
      <c r="M11" s="33"/>
      <c r="N11" s="120"/>
      <c r="O11" s="120"/>
      <c r="P11" s="112"/>
      <c r="Q11" s="113"/>
      <c r="R11" s="18"/>
      <c r="S11" s="33"/>
      <c r="T11" s="4" t="s">
        <v>269</v>
      </c>
      <c r="U11" s="18">
        <v>14.47</v>
      </c>
      <c r="V11" s="35"/>
      <c r="W11" s="18"/>
      <c r="X11" s="36"/>
      <c r="Y11" s="17"/>
      <c r="Z11" s="18"/>
      <c r="AA11" s="4"/>
      <c r="AB11" s="69" t="s">
        <v>54</v>
      </c>
      <c r="AC11" s="70" t="s">
        <v>55</v>
      </c>
    </row>
    <row r="12" spans="3:29" ht="15.75">
      <c r="C12" s="5"/>
      <c r="D12" s="42" t="s">
        <v>56</v>
      </c>
      <c r="E12" s="43">
        <v>4000</v>
      </c>
      <c r="F12" s="11"/>
      <c r="G12" s="12"/>
      <c r="H12" s="266" t="s">
        <v>30</v>
      </c>
      <c r="I12" s="18" t="s">
        <v>270</v>
      </c>
      <c r="J12" s="31">
        <v>390</v>
      </c>
      <c r="K12" s="32"/>
      <c r="L12" s="4"/>
      <c r="M12" s="33"/>
      <c r="N12" s="18"/>
      <c r="O12" s="18"/>
      <c r="P12" s="34"/>
      <c r="Q12" s="18"/>
      <c r="R12" s="30"/>
      <c r="S12" s="33"/>
      <c r="T12" s="4" t="s">
        <v>271</v>
      </c>
      <c r="U12" s="18">
        <v>271</v>
      </c>
      <c r="V12" s="35"/>
      <c r="W12" s="18"/>
      <c r="X12" s="36"/>
      <c r="Y12" s="17"/>
      <c r="Z12" s="18"/>
      <c r="AA12" s="4"/>
    </row>
    <row r="13" spans="3:29" ht="15.75">
      <c r="C13" s="5"/>
      <c r="D13" s="42" t="s">
        <v>61</v>
      </c>
      <c r="E13" s="17">
        <v>500</v>
      </c>
      <c r="F13" s="44"/>
      <c r="G13" s="39"/>
      <c r="H13" s="266"/>
      <c r="I13" s="18" t="s">
        <v>38</v>
      </c>
      <c r="J13" s="46"/>
      <c r="K13" s="47"/>
      <c r="L13" s="4"/>
      <c r="M13" s="33"/>
      <c r="N13" s="18"/>
      <c r="O13" s="18"/>
      <c r="P13" s="34"/>
      <c r="Q13" s="18">
        <v>29.7</v>
      </c>
      <c r="R13" s="30"/>
      <c r="S13" s="33"/>
      <c r="T13" s="4"/>
      <c r="U13" s="18"/>
      <c r="V13" s="35"/>
      <c r="W13" s="18"/>
      <c r="X13" s="36"/>
      <c r="Y13" s="17"/>
      <c r="Z13" s="18"/>
      <c r="AA13" s="4"/>
      <c r="AB13" s="4"/>
      <c r="AC13" s="4"/>
    </row>
    <row r="14" spans="3:29" ht="15.75">
      <c r="C14" s="5"/>
      <c r="D14" s="48" t="s">
        <v>20</v>
      </c>
      <c r="E14" s="49">
        <f>SUM(E12:E13)</f>
        <v>4500</v>
      </c>
      <c r="F14" s="50"/>
      <c r="G14" s="39"/>
      <c r="H14" s="267" t="s">
        <v>30</v>
      </c>
      <c r="I14" s="18" t="s">
        <v>267</v>
      </c>
      <c r="J14" s="46">
        <v>476</v>
      </c>
      <c r="K14" s="47"/>
      <c r="L14" s="4"/>
      <c r="M14" s="33"/>
      <c r="N14" s="18"/>
      <c r="O14" s="18"/>
      <c r="P14" s="34"/>
      <c r="Q14" s="18">
        <v>26.33</v>
      </c>
      <c r="R14" s="30"/>
      <c r="S14" s="33"/>
      <c r="T14" s="4"/>
      <c r="U14" s="18"/>
      <c r="V14" s="119"/>
      <c r="W14" s="120"/>
      <c r="X14" s="36"/>
      <c r="Y14" s="17"/>
      <c r="Z14" s="18"/>
      <c r="AA14" s="4"/>
      <c r="AB14" s="4"/>
      <c r="AC14" s="4"/>
    </row>
    <row r="15" spans="3:29" ht="15.75">
      <c r="C15" s="5"/>
      <c r="D15" s="2"/>
      <c r="E15" s="2"/>
      <c r="F15" s="44"/>
      <c r="G15" s="39"/>
      <c r="H15" s="267"/>
      <c r="I15" s="18" t="s">
        <v>38</v>
      </c>
      <c r="J15" s="46"/>
      <c r="K15" s="47"/>
      <c r="L15" s="4"/>
      <c r="M15" s="33"/>
      <c r="N15" s="18"/>
      <c r="O15" s="18"/>
      <c r="P15" s="34"/>
      <c r="Q15" s="18"/>
      <c r="R15" s="30"/>
      <c r="S15" s="33"/>
      <c r="T15" s="4"/>
      <c r="U15" s="18"/>
      <c r="V15" s="35"/>
      <c r="W15" s="18"/>
      <c r="X15" s="36"/>
      <c r="Y15" s="17"/>
      <c r="Z15" s="18"/>
      <c r="AA15" s="4"/>
      <c r="AB15" s="4"/>
      <c r="AC15" s="4"/>
    </row>
    <row r="16" spans="3:29" ht="15.75">
      <c r="C16" s="102"/>
      <c r="D16" s="103"/>
      <c r="E16" s="103"/>
      <c r="F16" s="104"/>
      <c r="G16" s="39"/>
      <c r="H16" s="268"/>
      <c r="I16" s="18" t="s">
        <v>272</v>
      </c>
      <c r="J16" s="31">
        <v>375</v>
      </c>
      <c r="K16" s="32"/>
      <c r="L16" s="4"/>
      <c r="M16" s="33"/>
      <c r="N16" s="18"/>
      <c r="O16" s="18"/>
      <c r="P16" s="34"/>
      <c r="Q16" s="18"/>
      <c r="R16" s="30"/>
      <c r="S16" s="33"/>
      <c r="T16" s="4"/>
      <c r="U16" s="18"/>
      <c r="V16" s="35"/>
      <c r="W16" s="18"/>
      <c r="X16" s="36"/>
      <c r="Y16" s="17"/>
      <c r="Z16" s="18"/>
      <c r="AA16" s="4"/>
      <c r="AB16" s="4"/>
      <c r="AC16" s="4"/>
    </row>
    <row r="17" spans="3:29" ht="15.75">
      <c r="C17" s="98"/>
      <c r="D17" s="71"/>
      <c r="E17" s="71"/>
      <c r="F17" s="100"/>
      <c r="G17" s="18"/>
      <c r="H17" s="268"/>
      <c r="I17" s="18"/>
      <c r="J17" s="52"/>
      <c r="K17" s="53"/>
      <c r="L17" s="4"/>
      <c r="M17" s="33"/>
      <c r="N17" s="18"/>
      <c r="O17" s="18"/>
      <c r="P17" s="34"/>
      <c r="Q17" s="18"/>
      <c r="R17" s="30"/>
      <c r="S17" s="33"/>
      <c r="T17" s="4"/>
      <c r="U17" s="18"/>
      <c r="V17" s="35"/>
      <c r="W17" s="18"/>
      <c r="X17" s="36"/>
      <c r="Y17" s="17"/>
      <c r="Z17" s="18"/>
      <c r="AA17" s="4"/>
      <c r="AB17" s="4"/>
      <c r="AC17" s="4"/>
    </row>
    <row r="18" spans="3:29" ht="15.75">
      <c r="C18" s="98"/>
      <c r="D18" s="71"/>
      <c r="E18" s="71"/>
      <c r="F18" s="101"/>
      <c r="G18" s="12"/>
      <c r="H18" s="54"/>
      <c r="I18" s="39"/>
      <c r="J18" s="46"/>
      <c r="K18" s="47"/>
      <c r="L18" s="4"/>
      <c r="M18" s="33"/>
      <c r="N18" s="18"/>
      <c r="O18" s="18"/>
      <c r="P18" s="34"/>
      <c r="Q18" s="18"/>
      <c r="R18" s="30"/>
      <c r="S18" s="33"/>
      <c r="T18" s="4"/>
      <c r="U18" s="18"/>
      <c r="V18" s="35"/>
      <c r="W18" s="46"/>
      <c r="X18" s="55"/>
      <c r="Y18" s="56"/>
      <c r="Z18" s="46"/>
      <c r="AA18" s="4"/>
      <c r="AB18" s="4"/>
      <c r="AC18" s="4"/>
    </row>
    <row r="19" spans="3:29" ht="15.75">
      <c r="C19" s="98"/>
      <c r="E19" s="71"/>
      <c r="F19" s="99"/>
      <c r="G19" s="39"/>
      <c r="H19" s="45"/>
      <c r="I19" s="39"/>
      <c r="J19" s="46"/>
      <c r="K19" s="47"/>
      <c r="L19" s="4"/>
      <c r="M19" s="33"/>
      <c r="N19" s="18"/>
      <c r="O19" s="18"/>
      <c r="P19" s="34" t="s">
        <v>273</v>
      </c>
      <c r="Q19" s="18">
        <v>40</v>
      </c>
      <c r="R19" s="30"/>
      <c r="S19" s="33"/>
      <c r="T19" s="4"/>
      <c r="U19" s="18"/>
      <c r="V19" s="35"/>
      <c r="W19" s="18"/>
      <c r="X19" s="36"/>
      <c r="Y19" s="17"/>
      <c r="Z19" s="18"/>
      <c r="AA19" s="4"/>
      <c r="AB19" s="4"/>
      <c r="AC19" s="4"/>
    </row>
    <row r="20" spans="3:29" ht="15.75">
      <c r="C20" s="98"/>
      <c r="F20" s="99"/>
      <c r="G20" s="39"/>
      <c r="H20" s="45"/>
      <c r="I20" s="39"/>
      <c r="J20" s="46"/>
      <c r="K20" s="47"/>
      <c r="L20" s="4"/>
      <c r="M20" s="33"/>
      <c r="N20" s="18"/>
      <c r="O20" s="18"/>
      <c r="P20" s="34"/>
      <c r="Q20" s="18"/>
      <c r="R20" s="30"/>
      <c r="S20" s="33"/>
      <c r="T20" s="4"/>
      <c r="U20" s="18"/>
      <c r="V20" s="35"/>
      <c r="W20" s="18"/>
      <c r="X20" s="36"/>
      <c r="Y20" s="17"/>
      <c r="Z20" s="18"/>
      <c r="AA20" s="4"/>
      <c r="AB20" s="4"/>
      <c r="AC20" s="4"/>
    </row>
    <row r="21" spans="3:29" ht="15.75">
      <c r="C21" s="98"/>
      <c r="D21" s="64"/>
      <c r="F21" s="99"/>
      <c r="G21" s="39"/>
      <c r="H21" s="45"/>
      <c r="I21" s="39"/>
      <c r="J21" s="46"/>
      <c r="K21" s="47"/>
      <c r="L21" s="4"/>
      <c r="M21" s="33"/>
      <c r="N21" s="18"/>
      <c r="O21" s="18"/>
      <c r="P21" s="34"/>
      <c r="Q21" s="18"/>
      <c r="R21" s="30"/>
      <c r="S21" s="33"/>
      <c r="T21" s="4"/>
      <c r="U21" s="18"/>
      <c r="V21" s="35"/>
      <c r="W21" s="18"/>
      <c r="X21" s="36"/>
      <c r="Y21" s="17"/>
      <c r="Z21" s="18"/>
      <c r="AA21" s="4"/>
      <c r="AB21" s="4"/>
      <c r="AC21" s="4"/>
    </row>
    <row r="22" spans="3:29" ht="15.75">
      <c r="C22" s="98"/>
      <c r="D22" s="71"/>
      <c r="E22" s="71"/>
      <c r="F22" s="99"/>
      <c r="G22" s="39"/>
      <c r="H22" s="45"/>
      <c r="I22" s="4"/>
      <c r="J22" s="57"/>
      <c r="K22" s="58"/>
      <c r="L22" s="4"/>
      <c r="M22" s="33"/>
      <c r="N22" s="18"/>
      <c r="O22" s="18"/>
      <c r="P22" s="34"/>
      <c r="Q22" s="18"/>
      <c r="R22" s="30"/>
      <c r="S22" s="33"/>
      <c r="T22" s="4"/>
      <c r="U22" s="18"/>
      <c r="V22" s="35"/>
      <c r="W22" s="18"/>
      <c r="X22" s="36"/>
      <c r="Y22" s="17"/>
      <c r="Z22" s="18"/>
      <c r="AA22" s="4"/>
      <c r="AB22" s="4"/>
      <c r="AC22" s="4"/>
    </row>
    <row r="23" spans="3:29" ht="15.75">
      <c r="C23" s="98"/>
      <c r="D23" s="71"/>
      <c r="E23" s="71"/>
      <c r="F23" s="99"/>
      <c r="G23" s="39"/>
      <c r="H23" s="45"/>
      <c r="I23" s="4"/>
      <c r="J23" s="31"/>
      <c r="K23" s="58"/>
      <c r="L23" s="4"/>
      <c r="M23" s="33"/>
      <c r="N23" s="18"/>
      <c r="O23" s="18"/>
      <c r="P23" s="34"/>
      <c r="Q23" s="18"/>
      <c r="R23" s="30"/>
      <c r="S23" s="33"/>
      <c r="T23" s="4"/>
      <c r="U23" s="18"/>
      <c r="V23" s="35"/>
      <c r="W23" s="18"/>
      <c r="X23" s="36"/>
      <c r="Y23" s="17"/>
      <c r="Z23" s="18"/>
      <c r="AA23" s="4"/>
      <c r="AB23" s="4"/>
      <c r="AC23" s="4"/>
    </row>
    <row r="24" spans="3:29" ht="15.75">
      <c r="C24" s="98"/>
      <c r="D24" s="98"/>
      <c r="E24" s="71"/>
      <c r="F24" s="71"/>
      <c r="G24" s="39"/>
      <c r="H24" s="45"/>
      <c r="I24" s="59" t="s">
        <v>20</v>
      </c>
      <c r="J24" s="60">
        <f>SUM(J7:J23)</f>
        <v>2371</v>
      </c>
      <c r="K24" s="58"/>
      <c r="L24" s="4"/>
      <c r="M24" s="33"/>
      <c r="N24" s="18"/>
      <c r="O24" s="18"/>
      <c r="P24" s="34"/>
      <c r="Q24" s="18"/>
      <c r="R24" s="30"/>
      <c r="S24" s="33"/>
      <c r="T24" s="4"/>
      <c r="U24" s="18"/>
      <c r="V24" s="35"/>
      <c r="W24" s="18"/>
      <c r="X24" s="36"/>
      <c r="Y24" s="17"/>
      <c r="Z24" s="18"/>
      <c r="AA24" s="4"/>
      <c r="AB24" s="4"/>
      <c r="AC24" s="4"/>
    </row>
    <row r="25" spans="3:29" ht="15.75">
      <c r="C25" s="98"/>
      <c r="D25" s="98"/>
      <c r="G25" s="4"/>
      <c r="H25" s="40"/>
      <c r="I25" s="4" t="s">
        <v>69</v>
      </c>
      <c r="J25" s="31">
        <v>500</v>
      </c>
      <c r="K25" s="58"/>
      <c r="L25" s="4"/>
      <c r="M25" s="33"/>
      <c r="N25" s="18"/>
      <c r="O25" s="18"/>
      <c r="P25" s="34"/>
      <c r="Q25" s="18"/>
      <c r="R25" s="30"/>
      <c r="S25" s="33"/>
      <c r="T25" s="4"/>
      <c r="U25" s="18"/>
      <c r="V25" s="35" t="s">
        <v>70</v>
      </c>
      <c r="W25" s="18"/>
      <c r="X25" s="36"/>
      <c r="Y25" s="17"/>
      <c r="Z25" s="18"/>
      <c r="AA25" s="4"/>
      <c r="AB25" s="18"/>
      <c r="AC25" s="4"/>
    </row>
    <row r="26" spans="3:29" ht="15.75">
      <c r="C26" s="98"/>
      <c r="D26" s="98"/>
      <c r="G26" s="4"/>
      <c r="H26" s="40"/>
      <c r="I26" s="4" t="s">
        <v>71</v>
      </c>
      <c r="J26" s="31">
        <v>0</v>
      </c>
      <c r="K26" s="32"/>
      <c r="L26" s="4"/>
      <c r="M26" s="33"/>
      <c r="N26" s="18"/>
      <c r="O26" s="18"/>
      <c r="P26" s="34"/>
      <c r="Q26" s="18"/>
      <c r="R26" s="30"/>
      <c r="S26" s="33"/>
      <c r="T26" s="4"/>
      <c r="U26" s="18"/>
      <c r="V26" s="35" t="s">
        <v>167</v>
      </c>
      <c r="W26" s="18"/>
      <c r="X26" s="36"/>
      <c r="Y26" s="17"/>
      <c r="Z26" s="18"/>
      <c r="AA26" s="4"/>
      <c r="AB26" s="4"/>
      <c r="AC26" s="4"/>
    </row>
    <row r="27" spans="3:29" ht="15.75">
      <c r="C27" s="98"/>
      <c r="D27" s="98"/>
      <c r="G27" s="4"/>
      <c r="H27" s="40"/>
      <c r="I27" s="65" t="s">
        <v>11</v>
      </c>
      <c r="J27" s="66">
        <f>X30</f>
        <v>21.17</v>
      </c>
      <c r="K27" s="32"/>
      <c r="L27" s="4"/>
      <c r="M27" s="33"/>
      <c r="N27" s="18"/>
      <c r="O27" s="18"/>
      <c r="P27" s="34"/>
      <c r="Q27" s="18"/>
      <c r="R27" s="30"/>
      <c r="S27" s="33"/>
      <c r="T27" s="4"/>
      <c r="U27" s="18"/>
      <c r="V27" s="35"/>
      <c r="W27" s="18"/>
      <c r="X27" s="36"/>
      <c r="Y27" s="17"/>
      <c r="Z27" s="18"/>
      <c r="AA27" s="4"/>
      <c r="AB27" s="4"/>
      <c r="AC27" s="4"/>
    </row>
    <row r="28" spans="3:29" ht="15.75">
      <c r="C28" s="98"/>
      <c r="D28" s="98"/>
      <c r="E28" s="111"/>
      <c r="G28" s="4"/>
      <c r="H28" s="40"/>
      <c r="I28" s="4"/>
      <c r="J28" s="31"/>
      <c r="K28" s="32"/>
      <c r="L28" s="4"/>
      <c r="M28" s="33"/>
      <c r="N28" s="18"/>
      <c r="O28" s="18"/>
      <c r="P28" s="34"/>
      <c r="Q28" s="18"/>
      <c r="R28" s="30"/>
      <c r="S28" s="33"/>
      <c r="T28" s="4"/>
      <c r="U28" s="18"/>
      <c r="V28" s="35"/>
      <c r="W28" s="18"/>
      <c r="X28" s="36"/>
      <c r="Y28" s="17"/>
      <c r="Z28" s="18"/>
      <c r="AA28" s="4"/>
    </row>
    <row r="29" spans="3:29" ht="15.75">
      <c r="C29" s="98"/>
      <c r="D29" s="98"/>
      <c r="G29" s="4"/>
      <c r="H29" s="40"/>
      <c r="I29" s="4"/>
      <c r="J29" s="31"/>
      <c r="K29" s="32"/>
      <c r="L29" s="4"/>
      <c r="M29" s="33"/>
      <c r="N29" s="18"/>
      <c r="O29" s="18"/>
      <c r="P29" s="34"/>
      <c r="Q29" s="18"/>
      <c r="R29" s="30"/>
      <c r="S29" s="33"/>
      <c r="T29" s="4"/>
      <c r="U29" s="18"/>
      <c r="V29" s="35"/>
      <c r="W29" s="18"/>
      <c r="X29" s="36"/>
      <c r="Y29" s="17"/>
      <c r="Z29" s="18"/>
      <c r="AA29" s="4"/>
    </row>
    <row r="30" spans="3:29" ht="15.75">
      <c r="C30" s="98"/>
      <c r="D30" s="97"/>
      <c r="E30" s="97"/>
      <c r="F30" s="98"/>
      <c r="G30" s="4"/>
      <c r="H30" s="263" t="s">
        <v>74</v>
      </c>
      <c r="I30" s="264"/>
      <c r="J30" s="61">
        <f>J24-J25-J26-J27-J28-J29</f>
        <v>1849.83</v>
      </c>
      <c r="K30" s="260">
        <f>SUM(M7:M29)</f>
        <v>608</v>
      </c>
      <c r="L30" s="261"/>
      <c r="M30" s="262"/>
      <c r="N30" s="258">
        <f>SUM(O7:O29)</f>
        <v>7.49</v>
      </c>
      <c r="O30" s="259"/>
      <c r="P30" s="243">
        <f>SUM(Q7:Q29)</f>
        <v>231.39</v>
      </c>
      <c r="Q30" s="244"/>
      <c r="R30" s="241">
        <f>SUM(S7:S29)</f>
        <v>35.5</v>
      </c>
      <c r="S30" s="242"/>
      <c r="T30" s="239">
        <f>SUM(U7:U29)</f>
        <v>431.93</v>
      </c>
      <c r="U30" s="240"/>
      <c r="V30" s="237">
        <f>SUM(W7:W29)</f>
        <v>55.2</v>
      </c>
      <c r="W30" s="238"/>
      <c r="X30" s="233">
        <f>SUM(Y7:Y29)</f>
        <v>21.17</v>
      </c>
      <c r="Y30" s="234"/>
      <c r="Z30" s="18"/>
      <c r="AA30" s="4"/>
    </row>
    <row r="31" spans="3:29" ht="15.75">
      <c r="C31" s="98"/>
      <c r="D31" s="97"/>
      <c r="E31" s="97"/>
      <c r="F31" s="98"/>
      <c r="G31" s="4"/>
      <c r="H31" s="256" t="s">
        <v>254</v>
      </c>
      <c r="I31" s="257"/>
      <c r="J31" s="62">
        <f>J30-K32</f>
        <v>480.31999999999994</v>
      </c>
      <c r="K31" s="253">
        <f>SUM(K30:Q30)</f>
        <v>846.88</v>
      </c>
      <c r="L31" s="254"/>
      <c r="M31" s="254"/>
      <c r="N31" s="254"/>
      <c r="O31" s="254"/>
      <c r="P31" s="254"/>
      <c r="Q31" s="255"/>
      <c r="R31" s="250">
        <f>R30+T30+V30</f>
        <v>522.63</v>
      </c>
      <c r="S31" s="251"/>
      <c r="T31" s="251"/>
      <c r="U31" s="251"/>
      <c r="V31" s="251"/>
      <c r="W31" s="252"/>
      <c r="X31" s="233"/>
      <c r="Y31" s="234"/>
      <c r="Z31" s="18"/>
      <c r="AA31" s="4"/>
    </row>
    <row r="32" spans="3:29" ht="18.75">
      <c r="C32" s="98"/>
      <c r="D32" s="97"/>
      <c r="E32" s="97"/>
      <c r="F32" s="98"/>
      <c r="G32" s="4"/>
      <c r="H32" s="4"/>
      <c r="I32" s="18"/>
      <c r="J32" s="31"/>
      <c r="K32" s="247">
        <f>K31+R31</f>
        <v>1369.51</v>
      </c>
      <c r="L32" s="248"/>
      <c r="M32" s="248"/>
      <c r="N32" s="248"/>
      <c r="O32" s="248"/>
      <c r="P32" s="248"/>
      <c r="Q32" s="248"/>
      <c r="R32" s="248"/>
      <c r="S32" s="248"/>
      <c r="T32" s="248"/>
      <c r="U32" s="248"/>
      <c r="V32" s="248"/>
      <c r="W32" s="249"/>
      <c r="X32" s="235"/>
      <c r="Y32" s="236"/>
      <c r="Z32" s="18"/>
      <c r="AA32" s="4"/>
    </row>
    <row r="33" spans="3:27" ht="15.75">
      <c r="C33" s="98"/>
      <c r="D33" s="97"/>
      <c r="E33" s="97"/>
      <c r="F33" s="98"/>
      <c r="G33" s="4"/>
      <c r="H33" s="4"/>
      <c r="I33" s="4"/>
      <c r="J33" s="4"/>
      <c r="K33" s="4"/>
      <c r="L33" s="4"/>
      <c r="M33" s="4"/>
      <c r="N33" s="4"/>
      <c r="O33" s="4"/>
      <c r="P33" s="4"/>
      <c r="Q33" s="4"/>
      <c r="R33" s="4"/>
      <c r="S33" s="4"/>
      <c r="T33" s="4"/>
      <c r="U33" s="4"/>
      <c r="V33" s="4"/>
      <c r="W33" s="4"/>
      <c r="X33" s="4"/>
      <c r="Y33" s="4"/>
      <c r="Z33" s="4"/>
      <c r="AA33" s="4"/>
    </row>
    <row r="34" spans="3:27">
      <c r="C34" s="72"/>
      <c r="D34" s="97"/>
      <c r="E34" s="97"/>
      <c r="F34" s="72"/>
    </row>
    <row r="35" spans="3:27">
      <c r="C35" s="72"/>
      <c r="D35" s="97"/>
      <c r="E35" s="97"/>
      <c r="F35" s="72"/>
    </row>
    <row r="36" spans="3:27">
      <c r="C36" s="72"/>
      <c r="D36" s="97"/>
      <c r="E36" s="97"/>
      <c r="F36" s="72"/>
      <c r="P36" s="64"/>
    </row>
    <row r="37" spans="3:27">
      <c r="C37" s="72"/>
      <c r="D37" s="97"/>
      <c r="E37" s="97"/>
      <c r="F37" s="72"/>
      <c r="I37" s="64"/>
      <c r="M37" s="63"/>
    </row>
    <row r="38" spans="3:27">
      <c r="C38" s="72"/>
      <c r="D38" s="97"/>
      <c r="E38" s="97"/>
      <c r="F38" s="72"/>
      <c r="P38" s="64"/>
    </row>
    <row r="39" spans="3:27">
      <c r="C39" s="72"/>
      <c r="D39" s="72"/>
      <c r="E39" s="72"/>
      <c r="F39" s="72"/>
      <c r="I39" s="64"/>
      <c r="P39" s="64"/>
    </row>
    <row r="40" spans="3:27">
      <c r="C40" s="72"/>
      <c r="F40" s="72"/>
      <c r="P40" s="64"/>
    </row>
    <row r="41" spans="3:27">
      <c r="C41" s="72"/>
      <c r="F41" s="72"/>
      <c r="P41" s="64"/>
    </row>
    <row r="42" spans="3:27">
      <c r="C42" s="72"/>
      <c r="F42" s="72"/>
    </row>
    <row r="43" spans="3:27">
      <c r="C43" s="72"/>
      <c r="F43" s="72"/>
    </row>
    <row r="44" spans="3:27">
      <c r="C44" s="72"/>
      <c r="F44" s="72"/>
    </row>
  </sheetData>
  <mergeCells count="29">
    <mergeCell ref="H14:H15"/>
    <mergeCell ref="D4:E4"/>
    <mergeCell ref="H4:Y4"/>
    <mergeCell ref="AB4:AC4"/>
    <mergeCell ref="H5:J5"/>
    <mergeCell ref="K5:M5"/>
    <mergeCell ref="N5:O5"/>
    <mergeCell ref="P5:Q5"/>
    <mergeCell ref="R5:S5"/>
    <mergeCell ref="T5:U5"/>
    <mergeCell ref="V5:W5"/>
    <mergeCell ref="X5:Y5"/>
    <mergeCell ref="H8:H9"/>
    <mergeCell ref="H10:H11"/>
    <mergeCell ref="D11:E11"/>
    <mergeCell ref="H12:H13"/>
    <mergeCell ref="H16:H17"/>
    <mergeCell ref="H30:I30"/>
    <mergeCell ref="K30:M30"/>
    <mergeCell ref="N30:O30"/>
    <mergeCell ref="P30:Q30"/>
    <mergeCell ref="T30:U30"/>
    <mergeCell ref="V30:W30"/>
    <mergeCell ref="X30:Y32"/>
    <mergeCell ref="H31:I31"/>
    <mergeCell ref="K31:Q31"/>
    <mergeCell ref="R31:W31"/>
    <mergeCell ref="K32:W32"/>
    <mergeCell ref="R30:S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1951-EDCF-46EF-877B-15EC6B31B5EF}">
  <sheetPr>
    <tabColor theme="5" tint="0.79998168889431442"/>
  </sheetPr>
  <dimension ref="C3:AA44"/>
  <sheetViews>
    <sheetView topLeftCell="A6" workbookViewId="0">
      <selection activeCell="L19" sqref="L19"/>
    </sheetView>
  </sheetViews>
  <sheetFormatPr defaultRowHeight="15"/>
  <cols>
    <col min="4" max="4" width="26" customWidth="1"/>
    <col min="5" max="5" width="16.42578125" customWidth="1"/>
    <col min="6" max="6" width="10.7109375" customWidth="1"/>
    <col min="9" max="9" width="23.85546875" bestFit="1"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6" max="26" width="22.28515625" customWidth="1"/>
    <col min="27" max="27" width="93.7109375" customWidth="1"/>
  </cols>
  <sheetData>
    <row r="3" spans="3:27" ht="15.75">
      <c r="C3" s="1"/>
      <c r="D3" s="2"/>
      <c r="E3" s="2"/>
      <c r="F3" s="3"/>
      <c r="G3" s="4"/>
      <c r="H3" s="4"/>
      <c r="I3" s="4"/>
      <c r="J3" s="4"/>
      <c r="K3" s="4"/>
      <c r="L3" s="4"/>
      <c r="M3" s="4"/>
      <c r="N3" s="4"/>
      <c r="O3" s="4"/>
      <c r="P3" s="4"/>
      <c r="Q3" s="4"/>
      <c r="R3" s="4"/>
      <c r="S3" s="4"/>
      <c r="T3" s="4"/>
      <c r="U3" s="4"/>
      <c r="V3" s="4"/>
      <c r="W3" s="4"/>
      <c r="X3" s="4"/>
      <c r="Y3" s="4"/>
      <c r="Z3" s="4"/>
      <c r="AA3" s="4"/>
    </row>
    <row r="4" spans="3:27" ht="21">
      <c r="C4" s="5"/>
      <c r="D4" s="207" t="s">
        <v>0</v>
      </c>
      <c r="E4" s="208"/>
      <c r="F4" s="6"/>
      <c r="G4" s="7"/>
      <c r="H4" s="209" t="s">
        <v>274</v>
      </c>
      <c r="I4" s="210"/>
      <c r="J4" s="210"/>
      <c r="K4" s="210"/>
      <c r="L4" s="210"/>
      <c r="M4" s="210"/>
      <c r="N4" s="210"/>
      <c r="O4" s="210"/>
      <c r="P4" s="210"/>
      <c r="Q4" s="210"/>
      <c r="R4" s="210"/>
      <c r="S4" s="210"/>
      <c r="T4" s="210"/>
      <c r="U4" s="210"/>
      <c r="V4" s="210"/>
      <c r="W4" s="271"/>
      <c r="X4" s="8"/>
      <c r="Y4" s="4"/>
      <c r="Z4" s="212" t="s">
        <v>2</v>
      </c>
      <c r="AA4" s="213"/>
    </row>
    <row r="5" spans="3:27" ht="15.75">
      <c r="C5" s="5"/>
      <c r="D5" s="9" t="s">
        <v>3</v>
      </c>
      <c r="E5" s="10">
        <f>K31</f>
        <v>1061.2</v>
      </c>
      <c r="F5" s="11"/>
      <c r="G5" s="12"/>
      <c r="H5" s="214" t="s">
        <v>4</v>
      </c>
      <c r="I5" s="215"/>
      <c r="J5" s="216"/>
      <c r="K5" s="217" t="s">
        <v>5</v>
      </c>
      <c r="L5" s="218"/>
      <c r="M5" s="219"/>
      <c r="N5" s="220" t="s">
        <v>6</v>
      </c>
      <c r="O5" s="221"/>
      <c r="P5" s="222" t="s">
        <v>7</v>
      </c>
      <c r="Q5" s="223"/>
      <c r="R5" s="224" t="s">
        <v>8</v>
      </c>
      <c r="S5" s="225"/>
      <c r="T5" s="226" t="s">
        <v>9</v>
      </c>
      <c r="U5" s="227"/>
      <c r="V5" s="228" t="s">
        <v>10</v>
      </c>
      <c r="W5" s="272"/>
      <c r="X5" s="12"/>
      <c r="Y5" s="4"/>
      <c r="Z5" s="13" t="s">
        <v>5</v>
      </c>
      <c r="AA5" s="14" t="s">
        <v>12</v>
      </c>
    </row>
    <row r="6" spans="3:27" ht="15.75">
      <c r="C6" s="5"/>
      <c r="D6" s="15" t="s">
        <v>13</v>
      </c>
      <c r="E6" s="16">
        <f>R31</f>
        <v>500.25</v>
      </c>
      <c r="F6" s="17"/>
      <c r="G6" s="18"/>
      <c r="H6" s="19" t="s">
        <v>14</v>
      </c>
      <c r="I6" s="149" t="s">
        <v>15</v>
      </c>
      <c r="J6" s="149" t="s">
        <v>16</v>
      </c>
      <c r="K6" s="21" t="s">
        <v>14</v>
      </c>
      <c r="L6" s="150" t="s">
        <v>17</v>
      </c>
      <c r="M6" s="23" t="s">
        <v>16</v>
      </c>
      <c r="N6" s="150" t="s">
        <v>17</v>
      </c>
      <c r="O6" s="150" t="s">
        <v>16</v>
      </c>
      <c r="P6" s="24" t="s">
        <v>17</v>
      </c>
      <c r="Q6" s="150" t="s">
        <v>16</v>
      </c>
      <c r="R6" s="25" t="s">
        <v>17</v>
      </c>
      <c r="S6" s="23" t="s">
        <v>16</v>
      </c>
      <c r="T6" s="150" t="s">
        <v>17</v>
      </c>
      <c r="U6" s="150" t="s">
        <v>16</v>
      </c>
      <c r="V6" s="24" t="s">
        <v>17</v>
      </c>
      <c r="W6" s="151" t="s">
        <v>16</v>
      </c>
      <c r="X6" s="22"/>
      <c r="Y6" s="4"/>
      <c r="Z6" s="13" t="s">
        <v>18</v>
      </c>
      <c r="AA6" s="14" t="s">
        <v>19</v>
      </c>
    </row>
    <row r="7" spans="3:27" ht="15.75">
      <c r="C7" s="5"/>
      <c r="D7" s="28" t="s">
        <v>20</v>
      </c>
      <c r="E7" s="29">
        <f>E6+E5</f>
        <v>1561.45</v>
      </c>
      <c r="F7" s="17"/>
      <c r="G7" s="18"/>
      <c r="H7" s="30"/>
      <c r="I7" s="100" t="s">
        <v>21</v>
      </c>
      <c r="J7" s="152">
        <v>469</v>
      </c>
      <c r="K7" s="32"/>
      <c r="L7" s="98" t="s">
        <v>22</v>
      </c>
      <c r="M7" s="33">
        <v>500</v>
      </c>
      <c r="N7" s="98" t="s">
        <v>275</v>
      </c>
      <c r="O7" s="33">
        <v>21.2</v>
      </c>
      <c r="P7" s="112"/>
      <c r="Q7" s="153"/>
      <c r="R7" s="30" t="s">
        <v>276</v>
      </c>
      <c r="S7" s="33">
        <v>11</v>
      </c>
      <c r="T7" s="98" t="s">
        <v>210</v>
      </c>
      <c r="U7" s="100">
        <v>35</v>
      </c>
      <c r="V7" s="119" t="s">
        <v>259</v>
      </c>
      <c r="W7" s="154">
        <v>42</v>
      </c>
      <c r="X7" s="18"/>
      <c r="Y7" s="4"/>
      <c r="Z7" s="13" t="s">
        <v>7</v>
      </c>
      <c r="AA7" s="14" t="s">
        <v>28</v>
      </c>
    </row>
    <row r="8" spans="3:27" ht="15.75">
      <c r="C8" s="5"/>
      <c r="D8" s="37" t="s">
        <v>29</v>
      </c>
      <c r="E8" s="38">
        <f>J31</f>
        <v>523.74999999999977</v>
      </c>
      <c r="F8" s="17"/>
      <c r="G8" s="18"/>
      <c r="H8" s="265" t="s">
        <v>30</v>
      </c>
      <c r="I8" s="100" t="s">
        <v>267</v>
      </c>
      <c r="J8" s="125">
        <v>452</v>
      </c>
      <c r="K8" s="32" t="s">
        <v>277</v>
      </c>
      <c r="L8" s="98" t="s">
        <v>278</v>
      </c>
      <c r="M8" s="33">
        <v>50</v>
      </c>
      <c r="N8" s="98"/>
      <c r="O8" s="100">
        <v>11</v>
      </c>
      <c r="P8" s="112"/>
      <c r="Q8" s="153"/>
      <c r="R8" s="30" t="s">
        <v>279</v>
      </c>
      <c r="S8" s="33">
        <v>11</v>
      </c>
      <c r="T8" s="98" t="s">
        <v>280</v>
      </c>
      <c r="U8" s="100">
        <v>15.99</v>
      </c>
      <c r="V8" s="119" t="s">
        <v>281</v>
      </c>
      <c r="W8" s="154">
        <v>65</v>
      </c>
      <c r="X8" s="18"/>
      <c r="Y8" s="4"/>
      <c r="Z8" s="67" t="s">
        <v>8</v>
      </c>
      <c r="AA8" s="68" t="s">
        <v>37</v>
      </c>
    </row>
    <row r="9" spans="3:27" ht="15.75">
      <c r="C9" s="5"/>
      <c r="D9" s="4"/>
      <c r="E9" s="39"/>
      <c r="F9" s="17"/>
      <c r="G9" s="18"/>
      <c r="H9" s="265"/>
      <c r="I9" s="100" t="s">
        <v>38</v>
      </c>
      <c r="J9" s="155">
        <v>34</v>
      </c>
      <c r="K9" s="32"/>
      <c r="L9" s="98" t="s">
        <v>39</v>
      </c>
      <c r="M9" s="33">
        <v>40</v>
      </c>
      <c r="N9" s="100"/>
      <c r="O9" s="100"/>
      <c r="P9" s="34"/>
      <c r="Q9" s="100"/>
      <c r="R9" s="30" t="s">
        <v>282</v>
      </c>
      <c r="S9" s="33">
        <v>12</v>
      </c>
      <c r="T9" s="98" t="s">
        <v>283</v>
      </c>
      <c r="U9" s="100">
        <v>6.72</v>
      </c>
      <c r="V9" s="35" t="s">
        <v>284</v>
      </c>
      <c r="W9" s="156">
        <v>48.18</v>
      </c>
      <c r="X9" s="18"/>
      <c r="Y9" s="4"/>
      <c r="Z9" s="67" t="s">
        <v>42</v>
      </c>
      <c r="AA9" s="68" t="s">
        <v>43</v>
      </c>
    </row>
    <row r="10" spans="3:27" ht="15.75">
      <c r="C10" s="5"/>
      <c r="D10" s="4"/>
      <c r="E10" s="18"/>
      <c r="F10" s="17"/>
      <c r="G10" s="18"/>
      <c r="H10" s="266" t="s">
        <v>30</v>
      </c>
      <c r="I10" s="100" t="s">
        <v>267</v>
      </c>
      <c r="J10" s="155">
        <v>468.2</v>
      </c>
      <c r="K10" s="32"/>
      <c r="L10" s="98" t="s">
        <v>45</v>
      </c>
      <c r="M10" s="33"/>
      <c r="N10" s="100"/>
      <c r="O10" s="100"/>
      <c r="P10" s="34"/>
      <c r="Q10" s="41"/>
      <c r="R10" s="100" t="s">
        <v>209</v>
      </c>
      <c r="S10" s="33">
        <v>25</v>
      </c>
      <c r="T10" s="98" t="s">
        <v>285</v>
      </c>
      <c r="U10" s="100">
        <v>6</v>
      </c>
      <c r="V10" s="35" t="s">
        <v>286</v>
      </c>
      <c r="W10" s="156">
        <v>62.89</v>
      </c>
      <c r="X10" s="18"/>
      <c r="Y10" s="4"/>
      <c r="Z10" s="165" t="s">
        <v>10</v>
      </c>
      <c r="AA10" s="166" t="s">
        <v>49</v>
      </c>
    </row>
    <row r="11" spans="3:27" ht="15.75">
      <c r="C11" s="5"/>
      <c r="D11" s="231" t="s">
        <v>50</v>
      </c>
      <c r="E11" s="232"/>
      <c r="F11" s="17"/>
      <c r="G11" s="18"/>
      <c r="H11" s="266"/>
      <c r="I11" s="100" t="s">
        <v>38</v>
      </c>
      <c r="J11" s="155">
        <v>45</v>
      </c>
      <c r="K11" s="190" t="s">
        <v>287</v>
      </c>
      <c r="L11" s="191" t="s">
        <v>288</v>
      </c>
      <c r="M11" s="121">
        <v>278</v>
      </c>
      <c r="N11" s="153"/>
      <c r="O11" s="153"/>
      <c r="P11" s="112"/>
      <c r="Q11" s="113">
        <v>101</v>
      </c>
      <c r="R11" s="100" t="s">
        <v>282</v>
      </c>
      <c r="S11" s="33">
        <v>26.99</v>
      </c>
      <c r="T11" s="98" t="s">
        <v>266</v>
      </c>
      <c r="U11" s="100">
        <v>30</v>
      </c>
      <c r="V11" s="35"/>
      <c r="W11" s="156"/>
      <c r="X11" s="18"/>
      <c r="Y11" s="4"/>
    </row>
    <row r="12" spans="3:27" ht="15.75">
      <c r="C12" s="5"/>
      <c r="D12" s="42" t="s">
        <v>56</v>
      </c>
      <c r="E12" s="43">
        <v>4500</v>
      </c>
      <c r="F12" s="11"/>
      <c r="G12" s="12"/>
      <c r="H12" s="266" t="s">
        <v>30</v>
      </c>
      <c r="I12" s="100" t="s">
        <v>270</v>
      </c>
      <c r="J12" s="155">
        <v>374</v>
      </c>
      <c r="K12" s="192" t="s">
        <v>289</v>
      </c>
      <c r="L12" s="163" t="s">
        <v>278</v>
      </c>
      <c r="M12" s="133">
        <v>50</v>
      </c>
      <c r="N12" s="100"/>
      <c r="O12" s="100"/>
      <c r="P12" s="34"/>
      <c r="Q12" s="100">
        <v>10</v>
      </c>
      <c r="R12" s="30"/>
      <c r="S12" s="33"/>
      <c r="T12" s="98" t="s">
        <v>290</v>
      </c>
      <c r="U12" s="100">
        <v>23.48</v>
      </c>
      <c r="V12" s="35"/>
      <c r="W12" s="156"/>
      <c r="X12" s="18"/>
      <c r="Y12" s="4"/>
      <c r="Z12" s="4"/>
      <c r="AA12" s="4"/>
    </row>
    <row r="13" spans="3:27" ht="15.75">
      <c r="C13" s="5"/>
      <c r="D13" s="42" t="s">
        <v>61</v>
      </c>
      <c r="E13" s="17">
        <v>225</v>
      </c>
      <c r="F13" s="44"/>
      <c r="G13" s="39"/>
      <c r="H13" s="266"/>
      <c r="I13" s="100" t="s">
        <v>38</v>
      </c>
      <c r="J13" s="157"/>
      <c r="K13" s="47"/>
      <c r="L13" s="98"/>
      <c r="M13" s="33"/>
      <c r="N13" s="100"/>
      <c r="O13" s="100"/>
      <c r="P13" s="34"/>
      <c r="Q13" s="100"/>
      <c r="R13" s="30"/>
      <c r="S13" s="33"/>
      <c r="T13" s="98" t="s">
        <v>291</v>
      </c>
      <c r="U13" s="100">
        <v>61</v>
      </c>
      <c r="V13" s="35"/>
      <c r="W13" s="156"/>
      <c r="X13" s="18"/>
      <c r="Y13" s="4"/>
      <c r="Z13" s="4"/>
      <c r="AA13" s="4"/>
    </row>
    <row r="14" spans="3:27" ht="15.75">
      <c r="C14" s="5"/>
      <c r="D14" s="48" t="s">
        <v>20</v>
      </c>
      <c r="E14" s="49">
        <f>SUM(E12:E13)-E24</f>
        <v>1000</v>
      </c>
      <c r="F14" s="50"/>
      <c r="G14" s="39"/>
      <c r="H14" s="267" t="s">
        <v>30</v>
      </c>
      <c r="I14" s="100" t="s">
        <v>267</v>
      </c>
      <c r="J14" s="157">
        <v>484</v>
      </c>
      <c r="K14" s="47"/>
      <c r="L14" s="98"/>
      <c r="M14" s="33"/>
      <c r="N14" s="100"/>
      <c r="O14" s="100"/>
      <c r="P14" s="34"/>
      <c r="Q14" s="100"/>
      <c r="R14" s="30"/>
      <c r="S14" s="33"/>
      <c r="T14" s="98" t="s">
        <v>266</v>
      </c>
      <c r="U14" s="100">
        <v>10</v>
      </c>
      <c r="V14" s="119"/>
      <c r="W14" s="154"/>
      <c r="X14" s="18"/>
      <c r="Y14" s="4"/>
      <c r="Z14" s="4"/>
      <c r="AA14" s="4"/>
    </row>
    <row r="15" spans="3:27" ht="15.75">
      <c r="C15" s="5"/>
      <c r="D15" s="2"/>
      <c r="E15" s="2"/>
      <c r="F15" s="44"/>
      <c r="G15" s="39"/>
      <c r="H15" s="267"/>
      <c r="I15" s="100" t="s">
        <v>38</v>
      </c>
      <c r="J15" s="157"/>
      <c r="K15" s="47"/>
      <c r="L15" s="98"/>
      <c r="M15" s="33"/>
      <c r="N15" s="100"/>
      <c r="O15" s="100"/>
      <c r="P15" s="34"/>
      <c r="Q15" s="100"/>
      <c r="R15" s="30"/>
      <c r="S15" s="33"/>
      <c r="T15" s="98" t="s">
        <v>292</v>
      </c>
      <c r="U15" s="100">
        <v>5</v>
      </c>
      <c r="V15" s="35"/>
      <c r="W15" s="156"/>
      <c r="X15" s="18"/>
      <c r="Y15" s="4"/>
      <c r="Z15" s="4"/>
      <c r="AA15" s="4"/>
    </row>
    <row r="16" spans="3:27" ht="15.75">
      <c r="C16" s="5"/>
      <c r="D16" s="72"/>
      <c r="E16" s="72"/>
      <c r="F16" s="44"/>
      <c r="G16" s="39"/>
      <c r="H16" s="268"/>
      <c r="I16" s="100"/>
      <c r="J16" s="155"/>
      <c r="K16" s="32"/>
      <c r="L16" s="98"/>
      <c r="M16" s="33"/>
      <c r="N16" s="100"/>
      <c r="O16" s="100"/>
      <c r="P16" s="34"/>
      <c r="Q16" s="100"/>
      <c r="R16" s="30"/>
      <c r="S16" s="33"/>
      <c r="T16" s="98"/>
      <c r="U16" s="100"/>
      <c r="V16" s="35"/>
      <c r="W16" s="156"/>
      <c r="X16" s="18"/>
      <c r="Y16" s="4"/>
      <c r="Z16" s="4"/>
      <c r="AA16" s="4"/>
    </row>
    <row r="17" spans="3:27" ht="15.75">
      <c r="C17" s="177"/>
      <c r="D17" s="178"/>
      <c r="E17" s="178"/>
      <c r="F17" s="179"/>
      <c r="G17" s="18"/>
      <c r="H17" s="268"/>
      <c r="I17" s="100"/>
      <c r="J17" s="158"/>
      <c r="K17" s="53"/>
      <c r="L17" s="98"/>
      <c r="M17" s="33"/>
      <c r="N17" s="100"/>
      <c r="O17" s="100"/>
      <c r="P17" s="34"/>
      <c r="Q17" s="100"/>
      <c r="R17" s="30"/>
      <c r="S17" s="33"/>
      <c r="T17" s="98"/>
      <c r="U17" s="100"/>
      <c r="V17" s="35"/>
      <c r="W17" s="156"/>
      <c r="X17" s="18"/>
      <c r="Y17" s="4"/>
      <c r="Z17" s="4"/>
      <c r="AA17" s="4"/>
    </row>
    <row r="18" spans="3:27" ht="15.75">
      <c r="C18" s="180"/>
      <c r="D18" s="269" t="s">
        <v>293</v>
      </c>
      <c r="E18" s="270"/>
      <c r="F18" s="181"/>
      <c r="G18" s="12"/>
      <c r="H18" s="54"/>
      <c r="I18" s="99"/>
      <c r="J18" s="157"/>
      <c r="K18" s="47"/>
      <c r="L18" s="98"/>
      <c r="M18" s="33"/>
      <c r="N18" s="100"/>
      <c r="O18" s="100"/>
      <c r="P18" s="34"/>
      <c r="Q18" s="100"/>
      <c r="R18" s="30"/>
      <c r="S18" s="33"/>
      <c r="T18" s="98"/>
      <c r="U18" s="100"/>
      <c r="V18" s="35"/>
      <c r="W18" s="159"/>
      <c r="X18" s="46"/>
      <c r="Y18" s="4"/>
      <c r="Z18" s="4"/>
      <c r="AA18" s="4"/>
    </row>
    <row r="19" spans="3:27" ht="15.75">
      <c r="C19" s="180"/>
      <c r="D19" s="167" t="s">
        <v>294</v>
      </c>
      <c r="E19" s="170">
        <v>7450</v>
      </c>
      <c r="F19" s="187">
        <v>45982</v>
      </c>
      <c r="G19" s="39"/>
      <c r="H19" s="45"/>
      <c r="I19" s="99"/>
      <c r="J19" s="157"/>
      <c r="K19" s="47"/>
      <c r="L19" s="98"/>
      <c r="M19" s="33"/>
      <c r="N19" s="100"/>
      <c r="O19" s="100"/>
      <c r="P19" s="34"/>
      <c r="Q19" s="100"/>
      <c r="R19" s="30"/>
      <c r="S19" s="33"/>
      <c r="T19" s="98"/>
      <c r="U19" s="100"/>
      <c r="V19" s="35"/>
      <c r="W19" s="156"/>
      <c r="X19" s="18"/>
      <c r="Y19" s="4"/>
      <c r="Z19" s="4"/>
      <c r="AA19" s="4"/>
    </row>
    <row r="20" spans="3:27" ht="15.75">
      <c r="C20" s="180"/>
      <c r="D20" s="167" t="s">
        <v>295</v>
      </c>
      <c r="E20" s="171">
        <v>0</v>
      </c>
      <c r="F20" s="182"/>
      <c r="G20" s="39"/>
      <c r="H20" s="45"/>
      <c r="I20" s="99"/>
      <c r="J20" s="157"/>
      <c r="K20" s="47"/>
      <c r="L20" s="98"/>
      <c r="M20" s="33"/>
      <c r="N20" s="100"/>
      <c r="O20" s="100"/>
      <c r="P20" s="34"/>
      <c r="Q20" s="100"/>
      <c r="R20" s="30"/>
      <c r="S20" s="33"/>
      <c r="T20" s="98"/>
      <c r="U20" s="100"/>
      <c r="V20" s="35"/>
      <c r="W20" s="156"/>
      <c r="X20" s="18"/>
      <c r="Y20" s="4"/>
      <c r="Z20" s="4"/>
      <c r="AA20" s="4"/>
    </row>
    <row r="21" spans="3:27" ht="15.75">
      <c r="C21" s="180"/>
      <c r="D21" s="168" t="s">
        <v>296</v>
      </c>
      <c r="E21" s="171">
        <v>0</v>
      </c>
      <c r="F21" s="182"/>
      <c r="G21" s="39"/>
      <c r="H21" s="45"/>
      <c r="I21" s="99"/>
      <c r="J21" s="157"/>
      <c r="K21" s="47"/>
      <c r="L21" s="98"/>
      <c r="M21" s="33"/>
      <c r="N21" s="100"/>
      <c r="O21" s="100"/>
      <c r="P21" s="34"/>
      <c r="Q21" s="100"/>
      <c r="R21" s="30"/>
      <c r="S21" s="33"/>
      <c r="T21" s="98"/>
      <c r="U21" s="100"/>
      <c r="V21" s="35"/>
      <c r="W21" s="156"/>
      <c r="X21" s="18"/>
      <c r="Y21" s="4"/>
      <c r="Z21" s="4"/>
      <c r="AA21" s="4"/>
    </row>
    <row r="22" spans="3:27" ht="15.75">
      <c r="C22" s="180"/>
      <c r="D22" s="168" t="s">
        <v>297</v>
      </c>
      <c r="E22" s="171">
        <v>0</v>
      </c>
      <c r="F22" s="182"/>
      <c r="G22" s="39"/>
      <c r="H22" s="45"/>
      <c r="I22" s="98"/>
      <c r="J22" s="160"/>
      <c r="K22" s="58"/>
      <c r="L22" s="98"/>
      <c r="M22" s="33"/>
      <c r="N22" s="100"/>
      <c r="O22" s="100"/>
      <c r="P22" s="34"/>
      <c r="Q22" s="100"/>
      <c r="R22" s="30"/>
      <c r="S22" s="33"/>
      <c r="T22" s="98"/>
      <c r="U22" s="100"/>
      <c r="V22" s="35"/>
      <c r="W22" s="156"/>
      <c r="X22" s="18"/>
      <c r="Y22" s="4"/>
      <c r="Z22" s="4"/>
      <c r="AA22" s="4"/>
    </row>
    <row r="23" spans="3:27" ht="15.75">
      <c r="C23" s="180"/>
      <c r="D23" s="176" t="s">
        <v>20</v>
      </c>
      <c r="E23" s="170">
        <f>E19+E21+E20</f>
        <v>7450</v>
      </c>
      <c r="F23" s="182"/>
      <c r="G23" s="39"/>
      <c r="H23" s="45"/>
      <c r="I23" s="98"/>
      <c r="J23" s="155"/>
      <c r="K23" s="58"/>
      <c r="L23" s="98"/>
      <c r="M23" s="33"/>
      <c r="N23" s="100"/>
      <c r="O23" s="100"/>
      <c r="P23" s="34"/>
      <c r="Q23" s="100"/>
      <c r="R23" s="30"/>
      <c r="S23" s="33"/>
      <c r="T23" s="98"/>
      <c r="U23" s="100"/>
      <c r="V23" s="35"/>
      <c r="W23" s="156"/>
      <c r="X23" s="18"/>
      <c r="Y23" s="4"/>
      <c r="Z23" s="4"/>
      <c r="AA23" s="4"/>
    </row>
    <row r="24" spans="3:27" ht="15.75">
      <c r="C24" s="180"/>
      <c r="D24" s="169" t="s">
        <v>298</v>
      </c>
      <c r="E24" s="172">
        <v>3725</v>
      </c>
      <c r="F24" s="183"/>
      <c r="G24" s="39"/>
      <c r="H24" s="45"/>
      <c r="I24" s="161" t="s">
        <v>20</v>
      </c>
      <c r="J24" s="162">
        <f>SUM(J7:J23)</f>
        <v>2326.1999999999998</v>
      </c>
      <c r="K24" s="58"/>
      <c r="L24" s="98"/>
      <c r="M24" s="33"/>
      <c r="N24" s="100"/>
      <c r="O24" s="100"/>
      <c r="P24" s="34"/>
      <c r="Q24" s="100"/>
      <c r="R24" s="30"/>
      <c r="S24" s="33"/>
      <c r="T24" s="98"/>
      <c r="U24" s="100"/>
      <c r="V24" s="35"/>
      <c r="W24" s="156"/>
      <c r="X24" s="18"/>
      <c r="Y24" s="4"/>
      <c r="Z24" s="18"/>
      <c r="AA24" s="4"/>
    </row>
    <row r="25" spans="3:27" ht="15.75">
      <c r="C25" s="184"/>
      <c r="D25" s="185"/>
      <c r="E25" s="189"/>
      <c r="F25" s="186"/>
      <c r="G25" s="4"/>
      <c r="H25" s="40"/>
      <c r="I25" s="98" t="s">
        <v>69</v>
      </c>
      <c r="J25" s="155">
        <v>241</v>
      </c>
      <c r="K25" s="58"/>
      <c r="L25" s="98"/>
      <c r="M25" s="33"/>
      <c r="N25" s="100"/>
      <c r="O25" s="100"/>
      <c r="P25" s="34"/>
      <c r="Q25" s="100"/>
      <c r="R25" s="30"/>
      <c r="S25" s="33"/>
      <c r="T25" s="98"/>
      <c r="U25" s="100"/>
      <c r="V25" s="35" t="s">
        <v>70</v>
      </c>
      <c r="W25" s="156">
        <v>3</v>
      </c>
      <c r="X25" s="18"/>
      <c r="Y25" s="4"/>
      <c r="Z25" s="4"/>
      <c r="AA25" s="4"/>
    </row>
    <row r="26" spans="3:27" ht="15.75">
      <c r="C26" s="98"/>
      <c r="D26" s="98"/>
      <c r="E26" s="188"/>
      <c r="G26" s="4"/>
      <c r="H26" s="40"/>
      <c r="I26" s="98"/>
      <c r="J26" s="155"/>
      <c r="K26" s="32"/>
      <c r="L26" s="98"/>
      <c r="M26" s="33"/>
      <c r="N26" s="100"/>
      <c r="O26" s="100"/>
      <c r="P26" s="34"/>
      <c r="Q26" s="100"/>
      <c r="R26" s="30"/>
      <c r="S26" s="33"/>
      <c r="T26" s="98"/>
      <c r="U26" s="100"/>
      <c r="V26" s="35" t="s">
        <v>167</v>
      </c>
      <c r="W26" s="156"/>
      <c r="X26" s="18"/>
      <c r="Y26" s="4"/>
      <c r="Z26" s="4"/>
      <c r="AA26" s="4"/>
    </row>
    <row r="27" spans="3:27" ht="15.75">
      <c r="C27" s="98"/>
      <c r="D27" s="98"/>
      <c r="E27" s="174"/>
      <c r="G27" s="4"/>
      <c r="H27" s="40"/>
      <c r="I27" s="163"/>
      <c r="J27" s="164"/>
      <c r="K27" s="32"/>
      <c r="L27" s="98"/>
      <c r="M27" s="33"/>
      <c r="N27" s="100"/>
      <c r="O27" s="100"/>
      <c r="P27" s="34"/>
      <c r="Q27" s="100"/>
      <c r="R27" s="30"/>
      <c r="S27" s="33"/>
      <c r="T27" s="98"/>
      <c r="U27" s="100"/>
      <c r="V27" s="35"/>
      <c r="W27" s="156"/>
      <c r="X27" s="18"/>
      <c r="Y27" s="4"/>
    </row>
    <row r="28" spans="3:27" ht="15.75">
      <c r="C28" s="98"/>
      <c r="D28" s="98"/>
      <c r="E28" s="174"/>
      <c r="G28" s="4"/>
      <c r="H28" s="40"/>
      <c r="I28" s="98"/>
      <c r="J28" s="155"/>
      <c r="K28" s="32"/>
      <c r="L28" s="98"/>
      <c r="M28" s="33"/>
      <c r="N28" s="100"/>
      <c r="O28" s="100"/>
      <c r="P28" s="34"/>
      <c r="Q28" s="100"/>
      <c r="R28" s="30"/>
      <c r="S28" s="33"/>
      <c r="T28" s="98"/>
      <c r="U28" s="100"/>
      <c r="V28" s="35"/>
      <c r="W28" s="156"/>
      <c r="X28" s="18"/>
      <c r="Y28" s="4"/>
    </row>
    <row r="29" spans="3:27" ht="15.75">
      <c r="C29" s="98"/>
      <c r="D29" s="98"/>
      <c r="E29" s="174"/>
      <c r="G29" s="4"/>
      <c r="H29" s="40"/>
      <c r="I29" s="98"/>
      <c r="J29" s="155"/>
      <c r="K29" s="32"/>
      <c r="L29" s="98"/>
      <c r="M29" s="33"/>
      <c r="N29" s="100"/>
      <c r="O29" s="100"/>
      <c r="P29" s="34"/>
      <c r="Q29" s="100"/>
      <c r="R29" s="30"/>
      <c r="S29" s="33"/>
      <c r="T29" s="98"/>
      <c r="U29" s="100"/>
      <c r="V29" s="35"/>
      <c r="W29" s="156"/>
      <c r="X29" s="18"/>
      <c r="Y29" s="4"/>
    </row>
    <row r="30" spans="3:27" ht="15.75">
      <c r="C30" s="98"/>
      <c r="D30" s="98"/>
      <c r="E30" s="174"/>
      <c r="F30" s="98"/>
      <c r="G30" s="4"/>
      <c r="H30" s="263" t="s">
        <v>74</v>
      </c>
      <c r="I30" s="264"/>
      <c r="J30" s="61">
        <f>J24-J25-J26-J27-J28-J29</f>
        <v>2085.1999999999998</v>
      </c>
      <c r="K30" s="260">
        <f>SUM(M7:M29)</f>
        <v>918</v>
      </c>
      <c r="L30" s="261"/>
      <c r="M30" s="262"/>
      <c r="N30" s="258">
        <f>SUM(O7:O29)</f>
        <v>32.200000000000003</v>
      </c>
      <c r="O30" s="259"/>
      <c r="P30" s="243">
        <f>SUM(Q7:Q29)</f>
        <v>111</v>
      </c>
      <c r="Q30" s="244"/>
      <c r="R30" s="241">
        <f>SUM(S7:S29)</f>
        <v>85.99</v>
      </c>
      <c r="S30" s="242"/>
      <c r="T30" s="239">
        <f>SUM(U7:U29)</f>
        <v>193.19</v>
      </c>
      <c r="U30" s="240"/>
      <c r="V30" s="237">
        <f>SUM(W7:W29)</f>
        <v>221.07</v>
      </c>
      <c r="W30" s="274"/>
      <c r="X30" s="18"/>
      <c r="Y30" s="4"/>
    </row>
    <row r="31" spans="3:27" ht="15.75">
      <c r="C31" s="98"/>
      <c r="D31" s="97"/>
      <c r="E31" s="175"/>
      <c r="F31" s="98"/>
      <c r="G31" s="4"/>
      <c r="H31" s="256" t="s">
        <v>254</v>
      </c>
      <c r="I31" s="257"/>
      <c r="J31" s="62">
        <f>J30-K32</f>
        <v>523.74999999999977</v>
      </c>
      <c r="K31" s="253">
        <f>SUM(K30:Q30)</f>
        <v>1061.2</v>
      </c>
      <c r="L31" s="254"/>
      <c r="M31" s="254"/>
      <c r="N31" s="254"/>
      <c r="O31" s="254"/>
      <c r="P31" s="254"/>
      <c r="Q31" s="255"/>
      <c r="R31" s="250">
        <f>R30+T30+V30</f>
        <v>500.25</v>
      </c>
      <c r="S31" s="251"/>
      <c r="T31" s="251"/>
      <c r="U31" s="251"/>
      <c r="V31" s="251"/>
      <c r="W31" s="275"/>
      <c r="X31" s="18"/>
      <c r="Y31" s="4"/>
    </row>
    <row r="32" spans="3:27" ht="18.75">
      <c r="C32" s="98"/>
      <c r="D32" s="97"/>
      <c r="E32" s="173"/>
      <c r="F32" s="98"/>
      <c r="G32" s="4"/>
      <c r="H32" s="98"/>
      <c r="I32" s="100"/>
      <c r="J32" s="155"/>
      <c r="K32" s="247">
        <f>K31+R31</f>
        <v>1561.45</v>
      </c>
      <c r="L32" s="248"/>
      <c r="M32" s="248"/>
      <c r="N32" s="248"/>
      <c r="O32" s="248"/>
      <c r="P32" s="248"/>
      <c r="Q32" s="248"/>
      <c r="R32" s="248"/>
      <c r="S32" s="248"/>
      <c r="T32" s="248"/>
      <c r="U32" s="248"/>
      <c r="V32" s="248"/>
      <c r="W32" s="273"/>
      <c r="X32" s="18"/>
      <c r="Y32" s="4"/>
    </row>
    <row r="33" spans="3:25" ht="15.75">
      <c r="C33" s="98"/>
      <c r="D33" s="97"/>
      <c r="E33" s="97"/>
      <c r="F33" s="98"/>
      <c r="G33" s="4"/>
      <c r="H33" s="4"/>
      <c r="I33" s="4"/>
      <c r="J33" s="4"/>
      <c r="K33" s="4"/>
      <c r="L33" s="4"/>
      <c r="M33" s="4"/>
      <c r="N33" s="4"/>
      <c r="O33" s="4"/>
      <c r="P33" s="4"/>
      <c r="Q33" s="4"/>
      <c r="R33" s="4"/>
      <c r="S33" s="4"/>
      <c r="T33" s="4"/>
      <c r="U33" s="4"/>
      <c r="V33" s="4"/>
      <c r="W33" s="4"/>
      <c r="X33" s="4"/>
      <c r="Y33" s="4"/>
    </row>
    <row r="34" spans="3:25">
      <c r="C34" s="72"/>
      <c r="D34" s="97"/>
      <c r="E34" s="97"/>
      <c r="F34" s="72"/>
    </row>
    <row r="35" spans="3:25">
      <c r="C35" s="72"/>
      <c r="D35" s="97"/>
      <c r="E35" s="97"/>
      <c r="F35" s="72"/>
    </row>
    <row r="36" spans="3:25">
      <c r="C36" s="72"/>
      <c r="D36" s="97"/>
      <c r="E36" s="97"/>
      <c r="F36" s="72"/>
      <c r="P36" s="64"/>
    </row>
    <row r="37" spans="3:25">
      <c r="C37" s="72"/>
      <c r="D37" s="97"/>
      <c r="E37" s="97"/>
      <c r="F37" s="72"/>
      <c r="I37" s="64"/>
      <c r="M37" s="63"/>
    </row>
    <row r="38" spans="3:25">
      <c r="C38" s="72"/>
      <c r="D38" s="97"/>
      <c r="E38" s="97"/>
      <c r="F38" s="72"/>
      <c r="P38" s="64"/>
    </row>
    <row r="39" spans="3:25">
      <c r="C39" s="72"/>
      <c r="D39" s="97"/>
      <c r="E39" s="97"/>
      <c r="F39" s="72"/>
      <c r="I39" s="64"/>
      <c r="P39" s="64"/>
    </row>
    <row r="40" spans="3:25">
      <c r="C40" s="72"/>
      <c r="D40" s="72"/>
      <c r="E40" s="72"/>
      <c r="F40" s="72"/>
      <c r="P40" s="64"/>
    </row>
    <row r="41" spans="3:25">
      <c r="C41" s="72"/>
      <c r="F41" s="72"/>
      <c r="P41" s="64"/>
    </row>
    <row r="42" spans="3:25">
      <c r="C42" s="72"/>
      <c r="F42" s="72"/>
    </row>
    <row r="43" spans="3:25">
      <c r="C43" s="72"/>
      <c r="F43" s="72"/>
    </row>
    <row r="44" spans="3:25">
      <c r="C44" s="72"/>
      <c r="F44" s="72"/>
    </row>
  </sheetData>
  <mergeCells count="28">
    <mergeCell ref="K32:W32"/>
    <mergeCell ref="R30:S30"/>
    <mergeCell ref="H16:H17"/>
    <mergeCell ref="H30:I30"/>
    <mergeCell ref="K30:M30"/>
    <mergeCell ref="N30:O30"/>
    <mergeCell ref="P30:Q30"/>
    <mergeCell ref="T30:U30"/>
    <mergeCell ref="V30:W30"/>
    <mergeCell ref="H31:I31"/>
    <mergeCell ref="K31:Q31"/>
    <mergeCell ref="R31:W31"/>
    <mergeCell ref="D18:E18"/>
    <mergeCell ref="H14:H15"/>
    <mergeCell ref="D4:E4"/>
    <mergeCell ref="H4:W4"/>
    <mergeCell ref="Z4:AA4"/>
    <mergeCell ref="H5:J5"/>
    <mergeCell ref="K5:M5"/>
    <mergeCell ref="N5:O5"/>
    <mergeCell ref="P5:Q5"/>
    <mergeCell ref="R5:S5"/>
    <mergeCell ref="T5:U5"/>
    <mergeCell ref="V5:W5"/>
    <mergeCell ref="H8:H9"/>
    <mergeCell ref="H10:H11"/>
    <mergeCell ref="D11:E11"/>
    <mergeCell ref="H12: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AEF9-867F-497B-8E8D-EB9A585817AD}">
  <sheetPr>
    <tabColor theme="5" tint="0.79998168889431442"/>
  </sheetPr>
  <dimension ref="C3:AA44"/>
  <sheetViews>
    <sheetView topLeftCell="B1" workbookViewId="0">
      <selection activeCell="E21" sqref="E21"/>
    </sheetView>
  </sheetViews>
  <sheetFormatPr defaultRowHeight="15"/>
  <cols>
    <col min="4" max="4" width="26" customWidth="1"/>
    <col min="5" max="5" width="16.42578125" customWidth="1"/>
    <col min="6" max="7" width="11.85546875" bestFit="1" customWidth="1"/>
    <col min="9" max="9" width="23.85546875" bestFit="1" customWidth="1"/>
    <col min="10" max="10" width="17" customWidth="1"/>
    <col min="12" max="12" width="19.42578125" customWidth="1"/>
    <col min="14" max="14" width="16.28515625" customWidth="1"/>
    <col min="16" max="16" width="16.42578125" customWidth="1"/>
    <col min="18" max="18" width="17.28515625" customWidth="1"/>
    <col min="20" max="20" width="17" customWidth="1"/>
    <col min="22" max="22" width="17.42578125" customWidth="1"/>
    <col min="26" max="26" width="22.28515625" customWidth="1"/>
    <col min="27" max="27" width="93.7109375" customWidth="1"/>
  </cols>
  <sheetData>
    <row r="3" spans="3:27" ht="15.75">
      <c r="C3" s="1"/>
      <c r="D3" s="2"/>
      <c r="E3" s="2"/>
      <c r="F3" s="3"/>
      <c r="G3" s="4"/>
      <c r="H3" s="4"/>
      <c r="I3" s="4"/>
      <c r="J3" s="4"/>
      <c r="K3" s="4"/>
      <c r="L3" s="4"/>
      <c r="M3" s="4"/>
      <c r="N3" s="4"/>
      <c r="O3" s="4"/>
      <c r="P3" s="4"/>
      <c r="Q3" s="4"/>
      <c r="R3" s="4"/>
      <c r="S3" s="4"/>
      <c r="T3" s="4"/>
      <c r="U3" s="4"/>
      <c r="V3" s="4"/>
      <c r="W3" s="4"/>
      <c r="X3" s="4"/>
      <c r="Y3" s="4"/>
      <c r="Z3" s="4"/>
      <c r="AA3" s="4"/>
    </row>
    <row r="4" spans="3:27" ht="21">
      <c r="C4" s="5"/>
      <c r="D4" s="207" t="s">
        <v>0</v>
      </c>
      <c r="E4" s="208"/>
      <c r="F4" s="6"/>
      <c r="G4" s="7"/>
      <c r="H4" s="209" t="s">
        <v>299</v>
      </c>
      <c r="I4" s="210"/>
      <c r="J4" s="210"/>
      <c r="K4" s="210"/>
      <c r="L4" s="210"/>
      <c r="M4" s="210"/>
      <c r="N4" s="210"/>
      <c r="O4" s="210"/>
      <c r="P4" s="210"/>
      <c r="Q4" s="210"/>
      <c r="R4" s="210"/>
      <c r="S4" s="210"/>
      <c r="T4" s="210"/>
      <c r="U4" s="210"/>
      <c r="V4" s="210"/>
      <c r="W4" s="271"/>
      <c r="X4" s="8"/>
      <c r="Y4" s="4"/>
      <c r="Z4" s="212" t="s">
        <v>2</v>
      </c>
      <c r="AA4" s="213"/>
    </row>
    <row r="5" spans="3:27" ht="15.75">
      <c r="C5" s="5"/>
      <c r="D5" s="9" t="s">
        <v>3</v>
      </c>
      <c r="E5" s="10">
        <f>K31</f>
        <v>1052.8</v>
      </c>
      <c r="F5" s="11"/>
      <c r="G5" s="12"/>
      <c r="H5" s="214" t="s">
        <v>4</v>
      </c>
      <c r="I5" s="215"/>
      <c r="J5" s="216"/>
      <c r="K5" s="217" t="s">
        <v>5</v>
      </c>
      <c r="L5" s="218"/>
      <c r="M5" s="219"/>
      <c r="N5" s="220" t="s">
        <v>6</v>
      </c>
      <c r="O5" s="221"/>
      <c r="P5" s="222" t="s">
        <v>7</v>
      </c>
      <c r="Q5" s="223"/>
      <c r="R5" s="224" t="s">
        <v>8</v>
      </c>
      <c r="S5" s="225"/>
      <c r="T5" s="226" t="s">
        <v>9</v>
      </c>
      <c r="U5" s="227"/>
      <c r="V5" s="228" t="s">
        <v>10</v>
      </c>
      <c r="W5" s="272"/>
      <c r="X5" s="12"/>
      <c r="Y5" s="4"/>
      <c r="Z5" s="13" t="s">
        <v>5</v>
      </c>
      <c r="AA5" s="14" t="s">
        <v>12</v>
      </c>
    </row>
    <row r="6" spans="3:27" ht="15.75">
      <c r="C6" s="5"/>
      <c r="D6" s="15" t="s">
        <v>13</v>
      </c>
      <c r="E6" s="16">
        <f>R31</f>
        <v>558.79999999999995</v>
      </c>
      <c r="F6" s="17"/>
      <c r="G6" s="18"/>
      <c r="H6" s="19" t="s">
        <v>14</v>
      </c>
      <c r="I6" s="149" t="s">
        <v>15</v>
      </c>
      <c r="J6" s="149" t="s">
        <v>16</v>
      </c>
      <c r="K6" s="21" t="s">
        <v>14</v>
      </c>
      <c r="L6" s="150" t="s">
        <v>17</v>
      </c>
      <c r="M6" s="23" t="s">
        <v>16</v>
      </c>
      <c r="N6" s="150" t="s">
        <v>17</v>
      </c>
      <c r="O6" s="150" t="s">
        <v>16</v>
      </c>
      <c r="P6" s="24" t="s">
        <v>17</v>
      </c>
      <c r="Q6" s="150" t="s">
        <v>16</v>
      </c>
      <c r="R6" s="25" t="s">
        <v>17</v>
      </c>
      <c r="S6" s="23" t="s">
        <v>16</v>
      </c>
      <c r="T6" s="150" t="s">
        <v>17</v>
      </c>
      <c r="U6" s="150" t="s">
        <v>16</v>
      </c>
      <c r="V6" s="24" t="s">
        <v>17</v>
      </c>
      <c r="W6" s="151" t="s">
        <v>16</v>
      </c>
      <c r="X6" s="22"/>
      <c r="Y6" s="4"/>
      <c r="Z6" s="13" t="s">
        <v>18</v>
      </c>
      <c r="AA6" s="14" t="s">
        <v>19</v>
      </c>
    </row>
    <row r="7" spans="3:27" ht="15.75">
      <c r="C7" s="5"/>
      <c r="D7" s="28" t="s">
        <v>20</v>
      </c>
      <c r="E7" s="29">
        <f>E6+E5</f>
        <v>1611.6</v>
      </c>
      <c r="F7" s="17"/>
      <c r="G7" s="18"/>
      <c r="H7" s="30"/>
      <c r="I7" s="100" t="s">
        <v>21</v>
      </c>
      <c r="J7" s="193">
        <v>523.75</v>
      </c>
      <c r="K7" s="32"/>
      <c r="L7" s="98" t="s">
        <v>22</v>
      </c>
      <c r="M7" s="33">
        <v>500</v>
      </c>
      <c r="N7" s="98" t="s">
        <v>300</v>
      </c>
      <c r="O7" s="33">
        <v>23.65</v>
      </c>
      <c r="P7" s="112"/>
      <c r="Q7" s="153">
        <v>69.97</v>
      </c>
      <c r="R7" s="30" t="s">
        <v>301</v>
      </c>
      <c r="S7" s="33">
        <v>40</v>
      </c>
      <c r="T7" s="98" t="s">
        <v>210</v>
      </c>
      <c r="U7" s="100">
        <v>35</v>
      </c>
      <c r="V7" s="119" t="s">
        <v>259</v>
      </c>
      <c r="W7" s="154">
        <v>42</v>
      </c>
      <c r="X7" s="18"/>
      <c r="Y7" s="4"/>
      <c r="Z7" s="13" t="s">
        <v>7</v>
      </c>
      <c r="AA7" s="14" t="s">
        <v>28</v>
      </c>
    </row>
    <row r="8" spans="3:27" ht="15.75">
      <c r="C8" s="5"/>
      <c r="D8" s="37" t="s">
        <v>29</v>
      </c>
      <c r="E8" s="38">
        <f>J31</f>
        <v>817.75000000000045</v>
      </c>
      <c r="F8" s="17"/>
      <c r="G8" s="18"/>
      <c r="H8" s="265" t="s">
        <v>30</v>
      </c>
      <c r="I8" s="100" t="s">
        <v>267</v>
      </c>
      <c r="J8" s="194">
        <v>470</v>
      </c>
      <c r="K8" s="32"/>
      <c r="L8" s="98"/>
      <c r="M8" s="33"/>
      <c r="N8" s="98"/>
      <c r="O8" s="100">
        <v>12.47</v>
      </c>
      <c r="P8" s="112" t="s">
        <v>273</v>
      </c>
      <c r="Q8" s="153">
        <v>56.21</v>
      </c>
      <c r="R8" s="30" t="s">
        <v>302</v>
      </c>
      <c r="S8" s="33">
        <v>11</v>
      </c>
      <c r="T8" s="98" t="s">
        <v>303</v>
      </c>
      <c r="U8" s="100">
        <v>30</v>
      </c>
      <c r="V8" s="119" t="s">
        <v>211</v>
      </c>
      <c r="W8" s="154">
        <v>6</v>
      </c>
      <c r="X8" s="18"/>
      <c r="Y8" s="4"/>
      <c r="Z8" s="67" t="s">
        <v>8</v>
      </c>
      <c r="AA8" s="68" t="s">
        <v>37</v>
      </c>
    </row>
    <row r="9" spans="3:27" ht="15.75">
      <c r="C9" s="5"/>
      <c r="D9" s="4"/>
      <c r="E9" s="39"/>
      <c r="F9" s="17"/>
      <c r="G9" s="18"/>
      <c r="H9" s="265"/>
      <c r="I9" s="100" t="s">
        <v>38</v>
      </c>
      <c r="J9" s="193">
        <v>65</v>
      </c>
      <c r="K9" s="32" t="s">
        <v>287</v>
      </c>
      <c r="L9" s="98" t="s">
        <v>39</v>
      </c>
      <c r="M9" s="33">
        <v>40</v>
      </c>
      <c r="N9" s="100" t="s">
        <v>304</v>
      </c>
      <c r="O9" s="100">
        <v>25</v>
      </c>
      <c r="P9" s="34"/>
      <c r="Q9" s="100">
        <v>21</v>
      </c>
      <c r="R9" s="30" t="s">
        <v>305</v>
      </c>
      <c r="S9" s="33">
        <v>47</v>
      </c>
      <c r="T9" s="98" t="s">
        <v>306</v>
      </c>
      <c r="U9" s="100">
        <v>7.99</v>
      </c>
      <c r="V9" s="35" t="s">
        <v>307</v>
      </c>
      <c r="W9" s="156">
        <v>3.6</v>
      </c>
      <c r="X9" s="18"/>
      <c r="Y9" s="4"/>
      <c r="Z9" s="67" t="s">
        <v>42</v>
      </c>
      <c r="AA9" s="68" t="s">
        <v>43</v>
      </c>
    </row>
    <row r="10" spans="3:27" ht="15.75">
      <c r="C10" s="5"/>
      <c r="D10" s="4"/>
      <c r="E10" s="18"/>
      <c r="F10" s="17"/>
      <c r="G10" s="18"/>
      <c r="H10" s="266" t="s">
        <v>30</v>
      </c>
      <c r="I10" s="100" t="s">
        <v>267</v>
      </c>
      <c r="J10" s="193">
        <v>543.29999999999995</v>
      </c>
      <c r="K10" s="32" t="s">
        <v>308</v>
      </c>
      <c r="L10" s="98" t="s">
        <v>45</v>
      </c>
      <c r="M10" s="33">
        <v>35</v>
      </c>
      <c r="N10" s="100"/>
      <c r="O10" s="100"/>
      <c r="P10" s="34"/>
      <c r="Q10" s="41">
        <v>92.5</v>
      </c>
      <c r="R10" s="153" t="s">
        <v>309</v>
      </c>
      <c r="S10" s="133">
        <v>104</v>
      </c>
      <c r="T10" s="98" t="s">
        <v>310</v>
      </c>
      <c r="U10" s="100">
        <v>18.190000000000001</v>
      </c>
      <c r="V10" s="35" t="s">
        <v>307</v>
      </c>
      <c r="W10" s="156">
        <v>1.8</v>
      </c>
      <c r="X10" s="18"/>
      <c r="Y10" s="4"/>
      <c r="Z10" s="165" t="s">
        <v>10</v>
      </c>
      <c r="AA10" s="166" t="s">
        <v>49</v>
      </c>
    </row>
    <row r="11" spans="3:27" ht="15.75">
      <c r="C11" s="5"/>
      <c r="D11" s="231" t="s">
        <v>50</v>
      </c>
      <c r="E11" s="232"/>
      <c r="F11" s="17"/>
      <c r="G11" s="18"/>
      <c r="H11" s="266"/>
      <c r="I11" s="100" t="s">
        <v>38</v>
      </c>
      <c r="J11" s="193">
        <v>40</v>
      </c>
      <c r="K11" s="32"/>
      <c r="L11" s="98" t="s">
        <v>180</v>
      </c>
      <c r="M11" s="33">
        <v>37.5</v>
      </c>
      <c r="N11" s="153"/>
      <c r="O11" s="153"/>
      <c r="P11" s="112"/>
      <c r="Q11" s="113"/>
      <c r="R11" s="100" t="s">
        <v>301</v>
      </c>
      <c r="S11" s="33">
        <v>15.49</v>
      </c>
      <c r="T11" s="98" t="s">
        <v>311</v>
      </c>
      <c r="U11" s="100">
        <v>18</v>
      </c>
      <c r="V11" s="35" t="s">
        <v>307</v>
      </c>
      <c r="W11" s="156">
        <v>3.6</v>
      </c>
      <c r="X11" s="18"/>
      <c r="Y11" s="4"/>
    </row>
    <row r="12" spans="3:27" ht="15.75">
      <c r="C12" s="5"/>
      <c r="D12" s="42" t="s">
        <v>56</v>
      </c>
      <c r="E12" s="196">
        <v>1000</v>
      </c>
      <c r="F12" s="11"/>
      <c r="G12" s="12"/>
      <c r="H12" s="266" t="s">
        <v>30</v>
      </c>
      <c r="I12" s="100" t="s">
        <v>270</v>
      </c>
      <c r="J12" s="193">
        <v>524</v>
      </c>
      <c r="K12" s="32"/>
      <c r="L12" s="98" t="s">
        <v>297</v>
      </c>
      <c r="M12" s="33">
        <v>90</v>
      </c>
      <c r="N12" s="100"/>
      <c r="O12" s="100"/>
      <c r="P12" s="34"/>
      <c r="Q12" s="100"/>
      <c r="R12" s="30"/>
      <c r="S12" s="33"/>
      <c r="T12" s="98" t="s">
        <v>312</v>
      </c>
      <c r="U12" s="100">
        <v>16.38</v>
      </c>
      <c r="V12" s="35" t="s">
        <v>307</v>
      </c>
      <c r="W12" s="156">
        <v>2.4</v>
      </c>
      <c r="X12" s="18"/>
      <c r="Y12" s="4"/>
      <c r="Z12" s="4"/>
      <c r="AA12" s="4"/>
    </row>
    <row r="13" spans="3:27" ht="15.75">
      <c r="C13" s="5"/>
      <c r="D13" s="42" t="s">
        <v>61</v>
      </c>
      <c r="E13" s="197">
        <v>1000</v>
      </c>
      <c r="F13" s="44"/>
      <c r="G13" s="39"/>
      <c r="H13" s="266"/>
      <c r="I13" s="100" t="s">
        <v>38</v>
      </c>
      <c r="J13" s="193">
        <v>60</v>
      </c>
      <c r="K13" s="47" t="s">
        <v>313</v>
      </c>
      <c r="L13" s="98" t="s">
        <v>45</v>
      </c>
      <c r="M13" s="33">
        <v>34.5</v>
      </c>
      <c r="N13" s="100"/>
      <c r="O13" s="100"/>
      <c r="P13" s="34"/>
      <c r="Q13" s="100"/>
      <c r="R13" s="30"/>
      <c r="S13" s="33"/>
      <c r="T13" s="98" t="s">
        <v>225</v>
      </c>
      <c r="U13" s="100">
        <v>16.87</v>
      </c>
      <c r="V13" s="35" t="s">
        <v>314</v>
      </c>
      <c r="W13" s="156">
        <v>8.5</v>
      </c>
      <c r="X13" s="18"/>
      <c r="Y13" s="4"/>
      <c r="Z13" s="4"/>
      <c r="AA13" s="4"/>
    </row>
    <row r="14" spans="3:27" ht="15.75">
      <c r="C14" s="5"/>
      <c r="D14" s="48" t="s">
        <v>20</v>
      </c>
      <c r="E14" s="198">
        <f>SUM(E12:E13)</f>
        <v>2000</v>
      </c>
      <c r="F14" s="50"/>
      <c r="G14" s="39"/>
      <c r="H14" s="267" t="s">
        <v>30</v>
      </c>
      <c r="I14" s="100" t="s">
        <v>267</v>
      </c>
      <c r="J14" s="193">
        <v>568</v>
      </c>
      <c r="K14" s="47" t="s">
        <v>315</v>
      </c>
      <c r="L14" s="98" t="s">
        <v>45</v>
      </c>
      <c r="M14" s="33">
        <v>15</v>
      </c>
      <c r="N14" s="100"/>
      <c r="O14" s="100"/>
      <c r="P14" s="34"/>
      <c r="Q14" s="100"/>
      <c r="R14" s="30"/>
      <c r="S14" s="33"/>
      <c r="T14" s="98" t="s">
        <v>316</v>
      </c>
      <c r="U14" s="100">
        <v>24.3</v>
      </c>
      <c r="V14" s="119" t="s">
        <v>317</v>
      </c>
      <c r="W14" s="154">
        <v>23</v>
      </c>
      <c r="X14" s="18"/>
      <c r="Y14" s="4"/>
      <c r="Z14" s="4"/>
      <c r="AA14" s="4"/>
    </row>
    <row r="15" spans="3:27" ht="15.75">
      <c r="C15" s="5"/>
      <c r="D15" s="2"/>
      <c r="E15" s="2"/>
      <c r="F15" s="44"/>
      <c r="G15" s="39"/>
      <c r="H15" s="267"/>
      <c r="I15" s="100" t="s">
        <v>38</v>
      </c>
      <c r="J15" s="193">
        <v>60</v>
      </c>
      <c r="K15" s="47"/>
      <c r="L15" s="98"/>
      <c r="M15" s="33"/>
      <c r="N15" s="100"/>
      <c r="O15" s="100"/>
      <c r="P15" s="34"/>
      <c r="Q15" s="100"/>
      <c r="R15" s="30"/>
      <c r="S15" s="33"/>
      <c r="T15" s="98" t="s">
        <v>318</v>
      </c>
      <c r="U15" s="100">
        <v>10.49</v>
      </c>
      <c r="V15" s="35" t="s">
        <v>319</v>
      </c>
      <c r="W15" s="156">
        <v>25</v>
      </c>
      <c r="X15" s="18"/>
      <c r="Y15" s="4"/>
      <c r="Z15" s="4"/>
      <c r="AA15" s="4"/>
    </row>
    <row r="16" spans="3:27" ht="15.75">
      <c r="C16" s="102"/>
      <c r="D16" s="103"/>
      <c r="E16" s="103"/>
      <c r="F16" s="104"/>
      <c r="G16" s="39"/>
      <c r="H16" s="268" t="s">
        <v>30</v>
      </c>
      <c r="I16" s="100" t="s">
        <v>267</v>
      </c>
      <c r="J16" s="193">
        <v>525.29999999999995</v>
      </c>
      <c r="K16" s="32"/>
      <c r="L16" s="98"/>
      <c r="M16" s="33"/>
      <c r="N16" s="100"/>
      <c r="O16" s="100"/>
      <c r="P16" s="34"/>
      <c r="Q16" s="100"/>
      <c r="R16" s="30"/>
      <c r="S16" s="33"/>
      <c r="T16" s="98" t="s">
        <v>320</v>
      </c>
      <c r="U16" s="100">
        <v>19.79</v>
      </c>
      <c r="V16" s="35" t="s">
        <v>307</v>
      </c>
      <c r="W16" s="156">
        <v>0.6</v>
      </c>
      <c r="X16" s="18"/>
      <c r="Y16" s="4"/>
      <c r="Z16" s="4"/>
      <c r="AA16" s="4"/>
    </row>
    <row r="17" spans="3:27" ht="15.75">
      <c r="C17" s="98"/>
      <c r="D17" s="71"/>
      <c r="E17" s="71"/>
      <c r="F17" s="100"/>
      <c r="G17" s="18"/>
      <c r="H17" s="268"/>
      <c r="I17" s="100"/>
      <c r="J17" s="195"/>
      <c r="K17" s="53"/>
      <c r="L17" s="98"/>
      <c r="M17" s="33"/>
      <c r="N17" s="100"/>
      <c r="O17" s="100"/>
      <c r="P17" s="34"/>
      <c r="Q17" s="100"/>
      <c r="R17" s="30"/>
      <c r="S17" s="33"/>
      <c r="T17" s="98"/>
      <c r="U17" s="100"/>
      <c r="V17" s="35" t="s">
        <v>307</v>
      </c>
      <c r="W17" s="156">
        <v>3.6</v>
      </c>
      <c r="X17" s="18"/>
      <c r="Y17" s="4"/>
      <c r="Z17" s="4"/>
      <c r="AA17" s="4"/>
    </row>
    <row r="18" spans="3:27" ht="15.75">
      <c r="C18" s="98"/>
      <c r="D18" s="71"/>
      <c r="E18" s="71"/>
      <c r="F18" s="101"/>
      <c r="G18" s="12"/>
      <c r="H18" s="54"/>
      <c r="I18" s="99" t="s">
        <v>321</v>
      </c>
      <c r="J18" s="193">
        <v>50</v>
      </c>
      <c r="K18" s="47"/>
      <c r="L18" s="98"/>
      <c r="M18" s="33"/>
      <c r="N18" s="100"/>
      <c r="O18" s="100"/>
      <c r="P18" s="34"/>
      <c r="Q18" s="100"/>
      <c r="R18" s="30"/>
      <c r="S18" s="33"/>
      <c r="T18" s="98"/>
      <c r="U18" s="100"/>
      <c r="V18" s="35" t="s">
        <v>307</v>
      </c>
      <c r="W18" s="159">
        <v>1.2</v>
      </c>
      <c r="X18" s="46"/>
      <c r="Y18" s="4"/>
      <c r="Z18" s="4"/>
      <c r="AA18" s="4"/>
    </row>
    <row r="19" spans="3:27" ht="15.75">
      <c r="C19" s="98"/>
      <c r="E19" s="71"/>
      <c r="F19" s="99"/>
      <c r="G19" s="39"/>
      <c r="H19" s="45"/>
      <c r="I19" s="99"/>
      <c r="J19" s="193"/>
      <c r="K19" s="47"/>
      <c r="L19" s="98"/>
      <c r="M19" s="33"/>
      <c r="N19" s="100"/>
      <c r="O19" s="100"/>
      <c r="P19" s="34"/>
      <c r="Q19" s="100"/>
      <c r="R19" s="30"/>
      <c r="S19" s="33"/>
      <c r="T19" s="98"/>
      <c r="U19" s="100"/>
      <c r="V19" s="35" t="s">
        <v>307</v>
      </c>
      <c r="W19" s="156">
        <v>1.2</v>
      </c>
      <c r="X19" s="18"/>
      <c r="Y19" s="4"/>
      <c r="Z19" s="4"/>
      <c r="AA19" s="4"/>
    </row>
    <row r="20" spans="3:27" ht="15.75">
      <c r="C20" s="98"/>
      <c r="F20" s="99"/>
      <c r="G20" s="39"/>
      <c r="H20" s="45"/>
      <c r="I20" s="99"/>
      <c r="J20" s="193"/>
      <c r="K20" s="47"/>
      <c r="L20" s="98"/>
      <c r="M20" s="33"/>
      <c r="N20" s="100"/>
      <c r="O20" s="100"/>
      <c r="P20" s="34"/>
      <c r="Q20" s="100"/>
      <c r="R20" s="30"/>
      <c r="S20" s="33"/>
      <c r="T20" s="98"/>
      <c r="U20" s="100"/>
      <c r="V20" s="35" t="s">
        <v>307</v>
      </c>
      <c r="W20" s="156">
        <v>2.4</v>
      </c>
      <c r="X20" s="18"/>
      <c r="Y20" s="4"/>
      <c r="Z20" s="4"/>
      <c r="AA20" s="4"/>
    </row>
    <row r="21" spans="3:27" ht="15.75">
      <c r="C21" s="98"/>
      <c r="D21" s="64"/>
      <c r="F21" s="99"/>
      <c r="G21" s="39"/>
      <c r="H21" s="45"/>
      <c r="I21" s="99"/>
      <c r="J21" s="193"/>
      <c r="K21" s="47"/>
      <c r="L21" s="98"/>
      <c r="M21" s="33"/>
      <c r="N21" s="100"/>
      <c r="O21" s="100"/>
      <c r="P21" s="34"/>
      <c r="Q21" s="100"/>
      <c r="R21" s="30"/>
      <c r="S21" s="33"/>
      <c r="T21" s="98"/>
      <c r="U21" s="100"/>
      <c r="V21" s="35" t="s">
        <v>307</v>
      </c>
      <c r="W21" s="156">
        <v>2.4</v>
      </c>
      <c r="X21" s="18"/>
      <c r="Y21" s="4"/>
      <c r="Z21" s="4"/>
      <c r="AA21" s="4"/>
    </row>
    <row r="22" spans="3:27" ht="15.75">
      <c r="C22" s="98"/>
      <c r="D22" s="71"/>
      <c r="E22" s="71"/>
      <c r="F22" s="99"/>
      <c r="G22" s="39"/>
      <c r="H22" s="45"/>
      <c r="I22" s="98"/>
      <c r="J22" s="193"/>
      <c r="K22" s="58"/>
      <c r="L22" s="98"/>
      <c r="M22" s="33"/>
      <c r="N22" s="100"/>
      <c r="O22" s="100"/>
      <c r="P22" s="34"/>
      <c r="Q22" s="100"/>
      <c r="R22" s="30"/>
      <c r="S22" s="33"/>
      <c r="T22" s="98"/>
      <c r="U22" s="100"/>
      <c r="V22" s="119"/>
      <c r="W22" s="154"/>
      <c r="X22" s="18"/>
      <c r="Y22" s="4"/>
      <c r="Z22" s="4"/>
      <c r="AA22" s="4"/>
    </row>
    <row r="23" spans="3:27" ht="15.75">
      <c r="C23" s="98"/>
      <c r="D23" s="71"/>
      <c r="E23" s="71"/>
      <c r="F23" s="99"/>
      <c r="G23" s="39"/>
      <c r="H23" s="45"/>
      <c r="I23" s="98"/>
      <c r="J23" s="193"/>
      <c r="K23" s="58"/>
      <c r="L23" s="98"/>
      <c r="M23" s="33"/>
      <c r="N23" s="100"/>
      <c r="O23" s="100"/>
      <c r="P23" s="34"/>
      <c r="Q23" s="100"/>
      <c r="R23" s="30"/>
      <c r="S23" s="33"/>
      <c r="T23" s="98"/>
      <c r="U23" s="100"/>
      <c r="V23" s="35"/>
      <c r="W23" s="156"/>
      <c r="X23" s="18"/>
      <c r="Y23" s="4"/>
      <c r="Z23" s="4"/>
      <c r="AA23" s="4"/>
    </row>
    <row r="24" spans="3:27" ht="15.75">
      <c r="C24" s="98"/>
      <c r="D24" s="98"/>
      <c r="E24" s="71"/>
      <c r="F24" s="71"/>
      <c r="G24" s="39"/>
      <c r="H24" s="45"/>
      <c r="I24" s="161" t="s">
        <v>20</v>
      </c>
      <c r="J24" s="162">
        <f>SUM(J7:J23)</f>
        <v>3429.3500000000004</v>
      </c>
      <c r="K24" s="58"/>
      <c r="L24" s="98"/>
      <c r="M24" s="33"/>
      <c r="N24" s="100"/>
      <c r="O24" s="100"/>
      <c r="P24" s="34"/>
      <c r="Q24" s="100"/>
      <c r="R24" s="30"/>
      <c r="S24" s="33"/>
      <c r="T24" s="98"/>
      <c r="U24" s="100"/>
      <c r="V24" s="35"/>
      <c r="W24" s="156"/>
      <c r="X24" s="18"/>
      <c r="Y24" s="4"/>
      <c r="Z24" s="18"/>
      <c r="AA24" s="4"/>
    </row>
    <row r="25" spans="3:27" ht="15.75">
      <c r="C25" s="98"/>
      <c r="D25" s="98"/>
      <c r="G25" s="4"/>
      <c r="H25" s="40"/>
      <c r="I25" s="98" t="s">
        <v>69</v>
      </c>
      <c r="J25" s="155">
        <v>1000</v>
      </c>
      <c r="K25" s="58"/>
      <c r="L25" s="98"/>
      <c r="M25" s="33"/>
      <c r="N25" s="100"/>
      <c r="O25" s="100"/>
      <c r="P25" s="34"/>
      <c r="Q25" s="100"/>
      <c r="R25" s="30"/>
      <c r="S25" s="33"/>
      <c r="T25" s="98"/>
      <c r="U25" s="100"/>
      <c r="V25" s="35" t="s">
        <v>70</v>
      </c>
      <c r="W25" s="156">
        <v>17</v>
      </c>
      <c r="X25" s="18"/>
      <c r="Y25" s="4"/>
      <c r="Z25" s="4"/>
      <c r="AA25" s="4"/>
    </row>
    <row r="26" spans="3:27" ht="15.75">
      <c r="C26" s="98"/>
      <c r="D26" s="98"/>
      <c r="G26" s="4"/>
      <c r="H26" s="40"/>
      <c r="I26" s="98"/>
      <c r="J26" s="155"/>
      <c r="K26" s="32"/>
      <c r="L26" s="98"/>
      <c r="M26" s="33"/>
      <c r="N26" s="100"/>
      <c r="O26" s="100"/>
      <c r="P26" s="34"/>
      <c r="Q26" s="100"/>
      <c r="R26" s="30"/>
      <c r="S26" s="33"/>
      <c r="T26" s="98"/>
      <c r="U26" s="100"/>
      <c r="V26" s="35" t="s">
        <v>167</v>
      </c>
      <c r="W26" s="156"/>
      <c r="X26" s="18"/>
      <c r="Y26" s="4"/>
      <c r="Z26" s="4"/>
      <c r="AA26" s="4"/>
    </row>
    <row r="27" spans="3:27" ht="15.75">
      <c r="C27" s="98"/>
      <c r="D27" s="98"/>
      <c r="G27" s="4"/>
      <c r="H27" s="40"/>
      <c r="I27" s="163"/>
      <c r="J27" s="164"/>
      <c r="K27" s="32"/>
      <c r="L27" s="98"/>
      <c r="M27" s="33"/>
      <c r="N27" s="100"/>
      <c r="O27" s="100"/>
      <c r="P27" s="34"/>
      <c r="Q27" s="100"/>
      <c r="R27" s="30"/>
      <c r="S27" s="33"/>
      <c r="T27" s="98"/>
      <c r="U27" s="100"/>
      <c r="V27" s="35"/>
      <c r="W27" s="156"/>
      <c r="X27" s="18"/>
      <c r="Y27" s="4"/>
    </row>
    <row r="28" spans="3:27" ht="15.75">
      <c r="C28" s="98"/>
      <c r="D28" s="98"/>
      <c r="E28" s="111"/>
      <c r="G28" s="4"/>
      <c r="H28" s="40"/>
      <c r="I28" s="98"/>
      <c r="J28" s="155"/>
      <c r="K28" s="32"/>
      <c r="L28" s="98"/>
      <c r="M28" s="33"/>
      <c r="N28" s="100"/>
      <c r="O28" s="100"/>
      <c r="P28" s="34"/>
      <c r="Q28" s="100"/>
      <c r="R28" s="30"/>
      <c r="S28" s="33"/>
      <c r="T28" s="98"/>
      <c r="U28" s="100"/>
      <c r="V28" s="35"/>
      <c r="W28" s="156"/>
      <c r="X28" s="18"/>
      <c r="Y28" s="4"/>
    </row>
    <row r="29" spans="3:27" ht="15.75">
      <c r="C29" s="98"/>
      <c r="D29" s="98"/>
      <c r="G29" s="4"/>
      <c r="H29" s="40"/>
      <c r="I29" s="98"/>
      <c r="J29" s="155"/>
      <c r="K29" s="32"/>
      <c r="L29" s="98"/>
      <c r="M29" s="33"/>
      <c r="N29" s="100"/>
      <c r="O29" s="100"/>
      <c r="P29" s="34"/>
      <c r="Q29" s="100"/>
      <c r="R29" s="30"/>
      <c r="S29" s="33"/>
      <c r="T29" s="98"/>
      <c r="U29" s="100"/>
      <c r="V29" s="35"/>
      <c r="W29" s="156"/>
      <c r="X29" s="18"/>
      <c r="Y29" s="4"/>
    </row>
    <row r="30" spans="3:27" ht="15.75">
      <c r="C30" s="98"/>
      <c r="D30" s="97"/>
      <c r="E30" s="97"/>
      <c r="F30" s="98"/>
      <c r="G30" s="4"/>
      <c r="H30" s="263" t="s">
        <v>74</v>
      </c>
      <c r="I30" s="264"/>
      <c r="J30" s="61">
        <f>J24-J25-J26-J27-J28-J29</f>
        <v>2429.3500000000004</v>
      </c>
      <c r="K30" s="260">
        <f>SUM(M7:M29)</f>
        <v>752</v>
      </c>
      <c r="L30" s="261"/>
      <c r="M30" s="262"/>
      <c r="N30" s="258">
        <f>SUM(O7:O29)</f>
        <v>61.12</v>
      </c>
      <c r="O30" s="259"/>
      <c r="P30" s="243">
        <f>SUM(Q7:Q29)</f>
        <v>239.68</v>
      </c>
      <c r="Q30" s="244"/>
      <c r="R30" s="241">
        <f>SUM(S7:S29)</f>
        <v>217.49</v>
      </c>
      <c r="S30" s="242"/>
      <c r="T30" s="239">
        <f>SUM(U7:U29)</f>
        <v>197.01</v>
      </c>
      <c r="U30" s="240"/>
      <c r="V30" s="237">
        <f>SUM(W7:W29)</f>
        <v>144.30000000000001</v>
      </c>
      <c r="W30" s="274"/>
      <c r="X30" s="18"/>
      <c r="Y30" s="4"/>
    </row>
    <row r="31" spans="3:27" ht="15.75">
      <c r="C31" s="98"/>
      <c r="D31" s="97"/>
      <c r="E31" s="97"/>
      <c r="F31" s="98"/>
      <c r="G31" s="4"/>
      <c r="H31" s="256" t="s">
        <v>254</v>
      </c>
      <c r="I31" s="257"/>
      <c r="J31" s="62">
        <f>J30-K32</f>
        <v>817.75000000000045</v>
      </c>
      <c r="K31" s="253">
        <f>SUM(K30:Q30)</f>
        <v>1052.8</v>
      </c>
      <c r="L31" s="254"/>
      <c r="M31" s="254"/>
      <c r="N31" s="254"/>
      <c r="O31" s="254"/>
      <c r="P31" s="254"/>
      <c r="Q31" s="255"/>
      <c r="R31" s="250">
        <f>R30+T30+V30</f>
        <v>558.79999999999995</v>
      </c>
      <c r="S31" s="251"/>
      <c r="T31" s="251"/>
      <c r="U31" s="251"/>
      <c r="V31" s="251"/>
      <c r="W31" s="275"/>
      <c r="X31" s="18"/>
      <c r="Y31" s="4"/>
    </row>
    <row r="32" spans="3:27" ht="18.75">
      <c r="C32" s="98"/>
      <c r="D32" s="97"/>
      <c r="E32" s="97"/>
      <c r="F32" s="98"/>
      <c r="G32" s="4"/>
      <c r="H32" s="98"/>
      <c r="I32" s="100"/>
      <c r="J32" s="155"/>
      <c r="K32" s="247">
        <f>K31+R31</f>
        <v>1611.6</v>
      </c>
      <c r="L32" s="248"/>
      <c r="M32" s="248"/>
      <c r="N32" s="248"/>
      <c r="O32" s="248"/>
      <c r="P32" s="248"/>
      <c r="Q32" s="248"/>
      <c r="R32" s="248"/>
      <c r="S32" s="248"/>
      <c r="T32" s="248"/>
      <c r="U32" s="248"/>
      <c r="V32" s="248"/>
      <c r="W32" s="273"/>
      <c r="X32" s="18"/>
      <c r="Y32" s="4"/>
    </row>
    <row r="33" spans="3:25" ht="15.75">
      <c r="C33" s="98"/>
      <c r="D33" s="97"/>
      <c r="E33" s="97"/>
      <c r="F33" s="98"/>
      <c r="G33" s="4"/>
      <c r="H33" s="4"/>
      <c r="I33" s="4"/>
      <c r="J33" s="4"/>
      <c r="K33" s="4"/>
      <c r="L33" s="4"/>
      <c r="M33" s="4"/>
      <c r="N33" s="4"/>
      <c r="O33" s="4"/>
      <c r="P33" s="4"/>
      <c r="Q33" s="4"/>
      <c r="R33" s="4"/>
      <c r="S33" s="4"/>
      <c r="T33" s="4"/>
      <c r="U33" s="4"/>
      <c r="V33" s="4"/>
      <c r="W33" s="4"/>
      <c r="X33" s="4"/>
      <c r="Y33" s="4"/>
    </row>
    <row r="34" spans="3:25">
      <c r="C34" s="72"/>
      <c r="D34" s="97"/>
      <c r="E34" s="97"/>
      <c r="F34" s="72"/>
    </row>
    <row r="35" spans="3:25">
      <c r="C35" s="72"/>
      <c r="D35" s="97"/>
      <c r="E35" s="97"/>
      <c r="F35" s="72"/>
    </row>
    <row r="36" spans="3:25">
      <c r="C36" s="72"/>
      <c r="D36" s="97"/>
      <c r="E36" s="97"/>
      <c r="F36" s="72"/>
      <c r="P36" s="64"/>
    </row>
    <row r="37" spans="3:25">
      <c r="C37" s="72"/>
      <c r="D37" s="97"/>
      <c r="E37" s="97"/>
      <c r="F37" s="72"/>
      <c r="I37" s="64"/>
      <c r="M37" s="63"/>
    </row>
    <row r="38" spans="3:25">
      <c r="C38" s="72"/>
      <c r="D38" s="97"/>
      <c r="E38" s="97"/>
      <c r="F38" s="72"/>
      <c r="P38" s="64"/>
    </row>
    <row r="39" spans="3:25">
      <c r="C39" s="72"/>
      <c r="D39" s="72"/>
      <c r="E39" s="72"/>
      <c r="F39" s="72"/>
      <c r="I39" s="64"/>
      <c r="P39" s="64"/>
    </row>
    <row r="40" spans="3:25">
      <c r="C40" s="72"/>
      <c r="F40" s="72"/>
      <c r="P40" s="64"/>
    </row>
    <row r="41" spans="3:25">
      <c r="C41" s="72"/>
      <c r="F41" s="72"/>
      <c r="P41" s="64"/>
    </row>
    <row r="42" spans="3:25">
      <c r="C42" s="72"/>
      <c r="F42" s="72"/>
    </row>
    <row r="43" spans="3:25">
      <c r="C43" s="72"/>
      <c r="F43" s="72"/>
    </row>
    <row r="44" spans="3:25">
      <c r="C44" s="72"/>
      <c r="F44" s="72"/>
    </row>
  </sheetData>
  <mergeCells count="27">
    <mergeCell ref="K32:W32"/>
    <mergeCell ref="R30:S30"/>
    <mergeCell ref="H16:H17"/>
    <mergeCell ref="H30:I30"/>
    <mergeCell ref="K30:M30"/>
    <mergeCell ref="N30:O30"/>
    <mergeCell ref="P30:Q30"/>
    <mergeCell ref="T30:U30"/>
    <mergeCell ref="V30:W30"/>
    <mergeCell ref="H31:I31"/>
    <mergeCell ref="K31:Q31"/>
    <mergeCell ref="R31:W31"/>
    <mergeCell ref="H14:H15"/>
    <mergeCell ref="D4:E4"/>
    <mergeCell ref="H4:W4"/>
    <mergeCell ref="Z4:AA4"/>
    <mergeCell ref="H5:J5"/>
    <mergeCell ref="K5:M5"/>
    <mergeCell ref="N5:O5"/>
    <mergeCell ref="P5:Q5"/>
    <mergeCell ref="R5:S5"/>
    <mergeCell ref="T5:U5"/>
    <mergeCell ref="V5:W5"/>
    <mergeCell ref="H8:H9"/>
    <mergeCell ref="H10:H11"/>
    <mergeCell ref="D11:E11"/>
    <mergeCell ref="H12:H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E58F-0B28-448D-8B1F-7A304814E90F}">
  <sheetPr>
    <tabColor rgb="FFFFFF00"/>
  </sheetPr>
  <dimension ref="A1:AN17"/>
  <sheetViews>
    <sheetView tabSelected="1" workbookViewId="0">
      <pane xSplit="1" topLeftCell="B1" activePane="topRight" state="frozen"/>
      <selection pane="topRight" activeCell="Z11" sqref="Z11:AA11"/>
    </sheetView>
  </sheetViews>
  <sheetFormatPr defaultRowHeight="15"/>
  <cols>
    <col min="1" max="1" width="21.85546875" customWidth="1"/>
    <col min="2" max="2" width="13" customWidth="1"/>
    <col min="4" max="4" width="12.7109375" customWidth="1"/>
    <col min="6" max="6" width="11.85546875" customWidth="1"/>
    <col min="8" max="8" width="11.85546875" customWidth="1"/>
    <col min="10" max="10" width="12" customWidth="1"/>
    <col min="12" max="12" width="11.5703125" customWidth="1"/>
    <col min="14" max="14" width="12.85546875" customWidth="1"/>
    <col min="16" max="16" width="10.28515625" customWidth="1"/>
    <col min="18" max="18" width="10.5703125" customWidth="1"/>
    <col min="20" max="20" width="11.140625" customWidth="1"/>
    <col min="22" max="22" width="12.28515625" customWidth="1"/>
    <col min="24" max="24" width="11" customWidth="1"/>
    <col min="26" max="26" width="12.85546875" customWidth="1"/>
    <col min="27" max="27" width="12.140625" customWidth="1"/>
    <col min="28" max="28" width="11.28515625" customWidth="1"/>
    <col min="30" max="30" width="11.140625" style="63" customWidth="1"/>
    <col min="31" max="31" width="11.85546875" style="126" customWidth="1"/>
    <col min="32" max="32" width="3" customWidth="1"/>
    <col min="33" max="33" width="10.7109375" style="63" customWidth="1"/>
    <col min="34" max="34" width="9.140625" style="126"/>
    <col min="35" max="35" width="2.5703125" customWidth="1"/>
    <col min="36" max="36" width="12.7109375" style="63" customWidth="1"/>
    <col min="37" max="37" width="9.140625" style="126"/>
    <col min="38" max="38" width="2.5703125" customWidth="1"/>
    <col min="39" max="39" width="10" bestFit="1" customWidth="1"/>
    <col min="41" max="41" width="3.42578125" customWidth="1"/>
  </cols>
  <sheetData>
    <row r="1" spans="1:40">
      <c r="A1" s="294"/>
      <c r="B1" s="294" t="s">
        <v>322</v>
      </c>
      <c r="C1" s="295"/>
      <c r="D1" s="294" t="s">
        <v>323</v>
      </c>
      <c r="E1" s="303"/>
      <c r="F1" s="295" t="s">
        <v>324</v>
      </c>
      <c r="G1" s="303"/>
      <c r="H1" s="295" t="s">
        <v>325</v>
      </c>
      <c r="I1" s="295"/>
      <c r="J1" s="304" t="s">
        <v>326</v>
      </c>
      <c r="K1" s="295"/>
      <c r="L1" s="304" t="s">
        <v>168</v>
      </c>
      <c r="M1" s="295"/>
      <c r="N1" s="304" t="s">
        <v>190</v>
      </c>
      <c r="O1" s="295"/>
      <c r="P1" s="304" t="s">
        <v>207</v>
      </c>
      <c r="Q1" s="295"/>
      <c r="R1" s="294" t="s">
        <v>231</v>
      </c>
      <c r="S1" s="295"/>
      <c r="T1" s="294" t="s">
        <v>255</v>
      </c>
      <c r="U1" s="295"/>
      <c r="V1" s="294" t="s">
        <v>274</v>
      </c>
      <c r="W1" s="295"/>
      <c r="X1" s="294" t="s">
        <v>299</v>
      </c>
      <c r="Y1" s="295"/>
      <c r="Z1" s="288" t="s">
        <v>327</v>
      </c>
      <c r="AA1" s="289"/>
      <c r="AB1" s="290"/>
      <c r="AD1" s="282" t="s">
        <v>328</v>
      </c>
      <c r="AE1" s="283"/>
      <c r="AG1" s="282" t="s">
        <v>329</v>
      </c>
      <c r="AH1" s="283"/>
      <c r="AJ1" s="282" t="s">
        <v>330</v>
      </c>
      <c r="AK1" s="283"/>
      <c r="AM1" s="282" t="s">
        <v>331</v>
      </c>
      <c r="AN1" s="283"/>
    </row>
    <row r="2" spans="1:40" ht="27">
      <c r="A2" s="302"/>
      <c r="B2" s="76" t="s">
        <v>332</v>
      </c>
      <c r="C2" s="73" t="s">
        <v>333</v>
      </c>
      <c r="D2" s="76" t="s">
        <v>332</v>
      </c>
      <c r="E2" s="78" t="s">
        <v>333</v>
      </c>
      <c r="F2" s="80" t="s">
        <v>332</v>
      </c>
      <c r="G2" s="78" t="s">
        <v>333</v>
      </c>
      <c r="H2" s="80" t="s">
        <v>332</v>
      </c>
      <c r="I2" s="73" t="s">
        <v>333</v>
      </c>
      <c r="J2" s="76" t="s">
        <v>332</v>
      </c>
      <c r="K2" s="73" t="s">
        <v>333</v>
      </c>
      <c r="L2" s="76" t="s">
        <v>332</v>
      </c>
      <c r="M2" s="73" t="s">
        <v>333</v>
      </c>
      <c r="N2" s="76" t="s">
        <v>332</v>
      </c>
      <c r="O2" s="73" t="s">
        <v>333</v>
      </c>
      <c r="P2" s="76" t="s">
        <v>332</v>
      </c>
      <c r="Q2" s="73" t="s">
        <v>333</v>
      </c>
      <c r="R2" s="76" t="s">
        <v>332</v>
      </c>
      <c r="S2" s="73" t="s">
        <v>333</v>
      </c>
      <c r="T2" s="76" t="s">
        <v>332</v>
      </c>
      <c r="U2" s="73" t="s">
        <v>333</v>
      </c>
      <c r="V2" s="76" t="s">
        <v>332</v>
      </c>
      <c r="W2" s="73" t="s">
        <v>333</v>
      </c>
      <c r="X2" s="76" t="s">
        <v>332</v>
      </c>
      <c r="Y2" s="78" t="s">
        <v>333</v>
      </c>
      <c r="Z2" s="141" t="s">
        <v>332</v>
      </c>
      <c r="AA2" s="142" t="s">
        <v>333</v>
      </c>
      <c r="AB2" s="143" t="s">
        <v>334</v>
      </c>
      <c r="AD2" s="127" t="s">
        <v>335</v>
      </c>
      <c r="AE2" s="128" t="s">
        <v>336</v>
      </c>
      <c r="AG2" s="127" t="s">
        <v>335</v>
      </c>
      <c r="AH2" s="128" t="s">
        <v>336</v>
      </c>
      <c r="AJ2" s="127" t="s">
        <v>335</v>
      </c>
      <c r="AK2" s="128" t="s">
        <v>336</v>
      </c>
      <c r="AM2" s="127" t="s">
        <v>335</v>
      </c>
      <c r="AN2" s="128" t="s">
        <v>336</v>
      </c>
    </row>
    <row r="3" spans="1:40">
      <c r="A3" s="74" t="s">
        <v>5</v>
      </c>
      <c r="B3" s="77">
        <v>550</v>
      </c>
      <c r="C3" s="83">
        <f>B3/$B$10</f>
        <v>0.32138745887701387</v>
      </c>
      <c r="D3" s="77">
        <v>613.5</v>
      </c>
      <c r="E3" s="79">
        <f>D3/$D$10</f>
        <v>0.40554475865624878</v>
      </c>
      <c r="F3" s="81">
        <v>724.5</v>
      </c>
      <c r="G3" s="79">
        <f>F3/$F$10</f>
        <v>0.47136360383336695</v>
      </c>
      <c r="H3" s="81">
        <v>1090</v>
      </c>
      <c r="I3" s="83">
        <f>H3/$H$10</f>
        <v>0.4598283026429581</v>
      </c>
      <c r="J3" s="77">
        <v>583</v>
      </c>
      <c r="K3" s="83">
        <f>J3/$J$10</f>
        <v>0.6877108547431996</v>
      </c>
      <c r="L3" s="77">
        <v>604</v>
      </c>
      <c r="M3" s="83">
        <f>L3/$L$10</f>
        <v>0.32900291418144184</v>
      </c>
      <c r="N3" s="77">
        <v>530</v>
      </c>
      <c r="O3" s="83">
        <f>N3/$N$10</f>
        <v>0.42172269743385715</v>
      </c>
      <c r="P3" s="77">
        <v>585</v>
      </c>
      <c r="Q3" s="83">
        <f>P3/$P$10</f>
        <v>0.41939993547693294</v>
      </c>
      <c r="R3" s="77">
        <v>610</v>
      </c>
      <c r="S3" s="83">
        <f>R3/$R$10</f>
        <v>0.46327589218582677</v>
      </c>
      <c r="T3" s="77">
        <v>608</v>
      </c>
      <c r="U3" s="83">
        <f>T3/$T$10</f>
        <v>0.43719619179106622</v>
      </c>
      <c r="V3" s="77">
        <v>818</v>
      </c>
      <c r="W3" s="83">
        <f>V3/$V$10</f>
        <v>0.55971808820007529</v>
      </c>
      <c r="X3" s="77">
        <v>752</v>
      </c>
      <c r="Y3" s="79">
        <f>X3/$X$10</f>
        <v>0.46661702655745846</v>
      </c>
      <c r="Z3" s="82">
        <f>SUM(X3,V3,T3,R3,P3,N3,L3,J3,H3,F3,D3,B3)</f>
        <v>8068</v>
      </c>
      <c r="AA3" s="138">
        <f>Z3/$Z$10</f>
        <v>0.44214954387572458</v>
      </c>
      <c r="AB3" s="144">
        <f>AVERAGE(X3,V3,T3,R3,P3,N3,L3,J3,H3,D3,B3)</f>
        <v>667.59090909090912</v>
      </c>
      <c r="AD3" s="129">
        <v>3799.07</v>
      </c>
      <c r="AE3" s="130">
        <f>AD3/$AD$10</f>
        <v>0.43724312871100246</v>
      </c>
      <c r="AG3" s="129">
        <v>5107.24</v>
      </c>
      <c r="AH3" s="130">
        <f>AG3/$AG$10</f>
        <v>0.35964756617288746</v>
      </c>
      <c r="AJ3" s="129">
        <v>7694.41</v>
      </c>
      <c r="AK3" s="130">
        <f>AJ3/$AJ$10</f>
        <v>0.50099229474018681</v>
      </c>
      <c r="AM3" s="129">
        <f>Z3</f>
        <v>8068</v>
      </c>
      <c r="AN3" s="130">
        <f>AA3</f>
        <v>0.44214954387572458</v>
      </c>
    </row>
    <row r="4" spans="1:40" ht="14.25" customHeight="1">
      <c r="A4" s="74" t="s">
        <v>18</v>
      </c>
      <c r="B4" s="77">
        <v>41.13</v>
      </c>
      <c r="C4" s="83">
        <f>B4/$B$10</f>
        <v>2.4033938515657417E-2</v>
      </c>
      <c r="D4" s="77">
        <v>60.9</v>
      </c>
      <c r="E4" s="79">
        <f>D4/$D$10</f>
        <v>4.025701027247848E-2</v>
      </c>
      <c r="F4" s="81">
        <v>0</v>
      </c>
      <c r="G4" s="79">
        <f>F4/$F$10</f>
        <v>0</v>
      </c>
      <c r="H4" s="81">
        <v>0</v>
      </c>
      <c r="I4" s="83">
        <f>H4/$H$10</f>
        <v>0</v>
      </c>
      <c r="J4" s="77">
        <v>15</v>
      </c>
      <c r="K4" s="83">
        <f>J4/$J$10</f>
        <v>1.7694104324439096E-2</v>
      </c>
      <c r="L4" s="77">
        <v>442.93</v>
      </c>
      <c r="M4" s="83">
        <f>L4/$L$10</f>
        <v>0.24126698804368546</v>
      </c>
      <c r="N4" s="77">
        <v>136.30000000000001</v>
      </c>
      <c r="O4" s="83">
        <f>N4/$N$10</f>
        <v>0.10845434652874479</v>
      </c>
      <c r="P4" s="77">
        <v>103.46</v>
      </c>
      <c r="Q4" s="83">
        <f>P4/$P$10</f>
        <v>7.4172850127253817E-2</v>
      </c>
      <c r="R4" s="77">
        <v>15</v>
      </c>
      <c r="S4" s="83">
        <f>R4/$R$10</f>
        <v>1.1392030135717051E-2</v>
      </c>
      <c r="T4" s="77">
        <v>7.49</v>
      </c>
      <c r="U4" s="83">
        <f>T4/$T$10</f>
        <v>5.3858544021629703E-3</v>
      </c>
      <c r="V4" s="77">
        <v>32.200000000000003</v>
      </c>
      <c r="W4" s="83">
        <f>V4/$V$10</f>
        <v>2.2032912518389271E-2</v>
      </c>
      <c r="X4" s="77">
        <v>61.12</v>
      </c>
      <c r="Y4" s="79">
        <f>X4/$X$10</f>
        <v>3.7925043435095555E-2</v>
      </c>
      <c r="Z4" s="82">
        <f t="shared" ref="Z4:Z8" si="0">SUM(X4,V4,T4,R4,P4,N4,L4,J4,H4,F4,D4,B4)</f>
        <v>915.53</v>
      </c>
      <c r="AA4" s="138">
        <f>Z4/$Z$10</f>
        <v>5.0173670290597688E-2</v>
      </c>
      <c r="AB4" s="144">
        <f t="shared" ref="AB4:AB14" si="1">AVERAGE(X4,V4,T4,R4,P4,N4,L4,J4,H4,D4,B4)</f>
        <v>83.23</v>
      </c>
      <c r="AD4" s="129">
        <v>55.18</v>
      </c>
      <c r="AE4" s="130">
        <f t="shared" ref="AE4:AE9" si="2">AD4/$AD$10</f>
        <v>6.3507847558147423E-3</v>
      </c>
      <c r="AG4" s="129">
        <v>392.54</v>
      </c>
      <c r="AH4" s="130">
        <f t="shared" ref="AH4:AH9" si="3">AG4/$AG$10</f>
        <v>2.7642338254224446E-2</v>
      </c>
      <c r="AJ4" s="129">
        <v>645.66</v>
      </c>
      <c r="AK4" s="130">
        <f t="shared" ref="AK4:AK9" si="4">AJ4/$AJ$10</f>
        <v>4.2039699602951876E-2</v>
      </c>
      <c r="AM4" s="129">
        <f t="shared" ref="AM4:AM9" si="5">Z4</f>
        <v>915.53</v>
      </c>
      <c r="AN4" s="130">
        <f t="shared" ref="AN4:AN9" si="6">AA4</f>
        <v>5.0173670290597688E-2</v>
      </c>
    </row>
    <row r="5" spans="1:40" ht="14.25" customHeight="1">
      <c r="A5" s="74" t="s">
        <v>7</v>
      </c>
      <c r="B5" s="77">
        <v>167.63</v>
      </c>
      <c r="C5" s="83">
        <f>B5/$B$10</f>
        <v>9.7953054057370592E-2</v>
      </c>
      <c r="D5" s="77">
        <v>131.97</v>
      </c>
      <c r="E5" s="79">
        <f>D5/$D$10</f>
        <v>8.7236742950065449E-2</v>
      </c>
      <c r="F5" s="81">
        <v>189.94</v>
      </c>
      <c r="G5" s="79">
        <f>F5/$F$10</f>
        <v>0.12357598745632811</v>
      </c>
      <c r="H5" s="81">
        <v>223.18</v>
      </c>
      <c r="I5" s="83">
        <f>H5/$H$10</f>
        <v>9.4150899618215961E-2</v>
      </c>
      <c r="J5" s="77">
        <v>97.75</v>
      </c>
      <c r="K5" s="83">
        <f>J5/$J$10</f>
        <v>0.11530657984759478</v>
      </c>
      <c r="L5" s="77">
        <v>197.01</v>
      </c>
      <c r="M5" s="83">
        <f>L5/$L$10</f>
        <v>0.10731268894517525</v>
      </c>
      <c r="N5" s="77">
        <v>344.8</v>
      </c>
      <c r="O5" s="83">
        <f>N5/$N$10</f>
        <v>0.27435846429281879</v>
      </c>
      <c r="P5" s="77">
        <v>353.1</v>
      </c>
      <c r="Q5" s="83">
        <f>P5/$P$10</f>
        <v>0.25314549951607701</v>
      </c>
      <c r="R5" s="77">
        <v>81.849999999999994</v>
      </c>
      <c r="S5" s="83">
        <f>R5/$R$10</f>
        <v>6.2162511107229375E-2</v>
      </c>
      <c r="T5" s="77">
        <v>231.39</v>
      </c>
      <c r="U5" s="83">
        <f>T5/$T$10</f>
        <v>0.16638622831995856</v>
      </c>
      <c r="V5" s="77">
        <v>111</v>
      </c>
      <c r="W5" s="83">
        <f>V5/$V$10</f>
        <v>7.5951965513702147E-2</v>
      </c>
      <c r="X5" s="77">
        <v>239.68</v>
      </c>
      <c r="Y5" s="79">
        <f>X5/$X$10</f>
        <v>0.14872176718788782</v>
      </c>
      <c r="Z5" s="82">
        <f t="shared" si="0"/>
        <v>2369.2999999999997</v>
      </c>
      <c r="AA5" s="138">
        <f>Z5/$Z$10</f>
        <v>0.12984443657718817</v>
      </c>
      <c r="AB5" s="144">
        <f t="shared" si="1"/>
        <v>198.12363636363636</v>
      </c>
      <c r="AD5" s="129">
        <v>1417.74</v>
      </c>
      <c r="AE5" s="130">
        <f t="shared" si="2"/>
        <v>0.16317074265510681</v>
      </c>
      <c r="AG5" s="129">
        <v>2654.36</v>
      </c>
      <c r="AH5" s="130">
        <f t="shared" si="3"/>
        <v>0.1869178095696826</v>
      </c>
      <c r="AJ5" s="129">
        <v>2433.12</v>
      </c>
      <c r="AK5" s="130">
        <f t="shared" si="4"/>
        <v>0.15842337127580194</v>
      </c>
      <c r="AM5" s="129">
        <f t="shared" si="5"/>
        <v>2369.2999999999997</v>
      </c>
      <c r="AN5" s="130">
        <f t="shared" si="6"/>
        <v>0.12984443657718817</v>
      </c>
    </row>
    <row r="6" spans="1:40">
      <c r="A6" s="90" t="s">
        <v>8</v>
      </c>
      <c r="B6" s="91">
        <v>238.97</v>
      </c>
      <c r="C6" s="92">
        <f>B6/$B$10</f>
        <v>0.13963992917789089</v>
      </c>
      <c r="D6" s="91">
        <v>54.5</v>
      </c>
      <c r="E6" s="93">
        <f>D6/$D$10</f>
        <v>3.6026388503285343E-2</v>
      </c>
      <c r="F6" s="94">
        <v>135</v>
      </c>
      <c r="G6" s="93">
        <f>F6/$F$10</f>
        <v>8.7831727422366515E-2</v>
      </c>
      <c r="H6" s="94">
        <v>156.74</v>
      </c>
      <c r="I6" s="92">
        <f>H6/$H$10</f>
        <v>6.6122466198401161E-2</v>
      </c>
      <c r="J6" s="91">
        <v>0</v>
      </c>
      <c r="K6" s="92">
        <f>J6/$J$10</f>
        <v>0</v>
      </c>
      <c r="L6" s="91">
        <v>50</v>
      </c>
      <c r="M6" s="92">
        <f>L6/$L$10</f>
        <v>2.7235340577933927E-2</v>
      </c>
      <c r="N6" s="91">
        <v>50</v>
      </c>
      <c r="O6" s="92">
        <f>N6/$N$10</f>
        <v>3.9785160135269546E-2</v>
      </c>
      <c r="P6" s="91">
        <v>82.4</v>
      </c>
      <c r="Q6" s="92">
        <f>P6/$P$10</f>
        <v>5.9074452450084233E-2</v>
      </c>
      <c r="R6" s="91">
        <v>153</v>
      </c>
      <c r="S6" s="92">
        <f>R6/$R$10</f>
        <v>0.11619870738431393</v>
      </c>
      <c r="T6" s="91">
        <v>35.5</v>
      </c>
      <c r="U6" s="92">
        <f>T6/$T$10</f>
        <v>2.5527080277274426E-2</v>
      </c>
      <c r="V6" s="91">
        <v>85.99</v>
      </c>
      <c r="W6" s="92">
        <f>V6/$V$10</f>
        <v>5.8838824455164383E-2</v>
      </c>
      <c r="X6" s="91">
        <v>217.49</v>
      </c>
      <c r="Y6" s="93">
        <f>X6/$X$10</f>
        <v>0.13495284189625217</v>
      </c>
      <c r="Z6" s="95">
        <f t="shared" si="0"/>
        <v>1259.5899999999999</v>
      </c>
      <c r="AA6" s="139">
        <f>Z6/$Z$10</f>
        <v>6.9029145261579564E-2</v>
      </c>
      <c r="AB6" s="145">
        <f t="shared" si="1"/>
        <v>102.23545454545454</v>
      </c>
      <c r="AD6" s="129">
        <v>863.22</v>
      </c>
      <c r="AE6" s="130">
        <f t="shared" si="2"/>
        <v>9.9349844452961258E-2</v>
      </c>
      <c r="AG6" s="129">
        <v>1156.0999999999999</v>
      </c>
      <c r="AH6" s="130">
        <f t="shared" si="3"/>
        <v>8.1411594374353899E-2</v>
      </c>
      <c r="AJ6" s="129">
        <v>1259.72</v>
      </c>
      <c r="AK6" s="130">
        <f t="shared" si="4"/>
        <v>8.2021885177694986E-2</v>
      </c>
      <c r="AM6" s="129">
        <f t="shared" si="5"/>
        <v>1259.5899999999999</v>
      </c>
      <c r="AN6" s="130">
        <f t="shared" si="6"/>
        <v>6.9029145261579564E-2</v>
      </c>
    </row>
    <row r="7" spans="1:40" ht="13.5" customHeight="1">
      <c r="A7" s="90" t="s">
        <v>9</v>
      </c>
      <c r="B7" s="91">
        <v>210.64</v>
      </c>
      <c r="C7" s="92">
        <f>B7/$B$10</f>
        <v>0.12308555334155308</v>
      </c>
      <c r="D7" s="91">
        <v>324.92</v>
      </c>
      <c r="E7" s="93">
        <f>D7/$D$10</f>
        <v>0.2147833789447243</v>
      </c>
      <c r="F7" s="94">
        <v>329.98</v>
      </c>
      <c r="G7" s="93">
        <f>F7/$F$10</f>
        <v>0.21468676603579631</v>
      </c>
      <c r="H7" s="94">
        <v>64.97</v>
      </c>
      <c r="I7" s="92">
        <f>H7/$H$10</f>
        <v>2.7408298002488979E-2</v>
      </c>
      <c r="J7" s="91">
        <v>66.989999999999995</v>
      </c>
      <c r="K7" s="92">
        <f>J7/$J$10</f>
        <v>7.9021869912945006E-2</v>
      </c>
      <c r="L7" s="91">
        <v>64.17</v>
      </c>
      <c r="M7" s="92">
        <f>L7/$L$10</f>
        <v>3.4953836097720403E-2</v>
      </c>
      <c r="N7" s="91">
        <v>102.47</v>
      </c>
      <c r="O7" s="92">
        <f>N7/$N$10</f>
        <v>8.1535707181221398E-2</v>
      </c>
      <c r="P7" s="91">
        <v>81.73</v>
      </c>
      <c r="Q7" s="92">
        <f>P7/$P$10</f>
        <v>5.859411406244399E-2</v>
      </c>
      <c r="R7" s="91">
        <v>161.94999999999999</v>
      </c>
      <c r="S7" s="92">
        <f>R7/$R$10</f>
        <v>0.12299595203195843</v>
      </c>
      <c r="T7" s="91">
        <v>431.93</v>
      </c>
      <c r="U7" s="92">
        <f>T7/$T$10</f>
        <v>0.31058906434262373</v>
      </c>
      <c r="V7" s="91">
        <v>193.19</v>
      </c>
      <c r="W7" s="92">
        <f>V7/$V$10</f>
        <v>0.13219063259091998</v>
      </c>
      <c r="X7" s="91">
        <v>197.01</v>
      </c>
      <c r="Y7" s="93">
        <f>X7/$X$10</f>
        <v>0.12224497393894267</v>
      </c>
      <c r="Z7" s="95">
        <f t="shared" si="0"/>
        <v>2229.9500000000003</v>
      </c>
      <c r="AA7" s="139">
        <f>Z7/$Z$10</f>
        <v>0.12220765683758951</v>
      </c>
      <c r="AB7" s="145">
        <f t="shared" si="1"/>
        <v>172.72454545454548</v>
      </c>
      <c r="AD7" s="129">
        <v>369</v>
      </c>
      <c r="AE7" s="130">
        <f t="shared" si="2"/>
        <v>4.2469002807097499E-2</v>
      </c>
      <c r="AG7" s="129">
        <v>1147.47</v>
      </c>
      <c r="AH7" s="130">
        <f t="shared" si="3"/>
        <v>8.0803876997439558E-2</v>
      </c>
      <c r="AJ7" s="129">
        <v>942.02</v>
      </c>
      <c r="AK7" s="130">
        <f t="shared" si="4"/>
        <v>6.1336055849785846E-2</v>
      </c>
      <c r="AM7" s="129">
        <f t="shared" si="5"/>
        <v>2229.9500000000003</v>
      </c>
      <c r="AN7" s="130">
        <f t="shared" si="6"/>
        <v>0.12220765683758951</v>
      </c>
    </row>
    <row r="8" spans="1:40">
      <c r="A8" s="90" t="s">
        <v>10</v>
      </c>
      <c r="B8" s="91">
        <v>454.35</v>
      </c>
      <c r="C8" s="92">
        <f>B8/$B$10</f>
        <v>0.26549525807412955</v>
      </c>
      <c r="D8" s="91">
        <v>283</v>
      </c>
      <c r="E8" s="93">
        <f>D8/$D$10</f>
        <v>0.18707280635650922</v>
      </c>
      <c r="F8" s="94">
        <v>114</v>
      </c>
      <c r="G8" s="93">
        <f>F8/$F$10</f>
        <v>7.4169014267776168E-2</v>
      </c>
      <c r="H8" s="94">
        <v>791.56</v>
      </c>
      <c r="I8" s="92">
        <f>H8/$H$10</f>
        <v>0.3339281571009724</v>
      </c>
      <c r="J8" s="91">
        <v>0</v>
      </c>
      <c r="K8" s="92">
        <f>J8/$J$10</f>
        <v>0</v>
      </c>
      <c r="L8" s="91">
        <v>353.83</v>
      </c>
      <c r="M8" s="92">
        <f>L8/$L$10</f>
        <v>0.19273361113380721</v>
      </c>
      <c r="N8" s="91">
        <v>16</v>
      </c>
      <c r="O8" s="92">
        <f>N8/$N$10</f>
        <v>1.2731251243286255E-2</v>
      </c>
      <c r="P8" s="91">
        <v>33.229999999999997</v>
      </c>
      <c r="Q8" s="92">
        <f>P8/$P$10</f>
        <v>2.3823350181023044E-2</v>
      </c>
      <c r="R8" s="91">
        <v>217.7</v>
      </c>
      <c r="S8" s="92">
        <f>R8/$R$10</f>
        <v>0.16533633070304013</v>
      </c>
      <c r="T8" s="91">
        <v>55.2</v>
      </c>
      <c r="U8" s="96">
        <f>T8/$T$10</f>
        <v>3.969281214945207E-2</v>
      </c>
      <c r="V8" s="91">
        <v>221.07</v>
      </c>
      <c r="W8" s="92">
        <f>V8/$V$10</f>
        <v>0.15126757672174893</v>
      </c>
      <c r="X8" s="91">
        <v>144.30000000000001</v>
      </c>
      <c r="Y8" s="93">
        <f>X8/$X$10</f>
        <v>8.9538346984363373E-2</v>
      </c>
      <c r="Z8" s="95">
        <f t="shared" si="0"/>
        <v>2684.24</v>
      </c>
      <c r="AA8" s="139">
        <f>Z8/$Z$10</f>
        <v>0.14710405201449864</v>
      </c>
      <c r="AB8" s="145">
        <f t="shared" si="1"/>
        <v>233.65818181818179</v>
      </c>
      <c r="AD8" s="129">
        <v>1359.65</v>
      </c>
      <c r="AE8" s="130">
        <f t="shared" si="2"/>
        <v>0.15648503974707351</v>
      </c>
      <c r="AG8" s="129">
        <v>1228.28</v>
      </c>
      <c r="AH8" s="130">
        <f t="shared" si="3"/>
        <v>8.6494449561570291E-2</v>
      </c>
      <c r="AJ8" s="129">
        <v>1610.45</v>
      </c>
      <c r="AK8" s="130">
        <f t="shared" si="4"/>
        <v>0.10485833755470969</v>
      </c>
      <c r="AM8" s="129">
        <f t="shared" si="5"/>
        <v>2684.24</v>
      </c>
      <c r="AN8" s="130">
        <f t="shared" si="6"/>
        <v>0.14710405201449864</v>
      </c>
    </row>
    <row r="9" spans="1:40" ht="17.25" customHeight="1">
      <c r="A9" s="84" t="s">
        <v>337</v>
      </c>
      <c r="B9" s="85">
        <v>48.61</v>
      </c>
      <c r="C9" s="86">
        <f>B9/$B$10</f>
        <v>2.8404807956384805E-2</v>
      </c>
      <c r="D9" s="85">
        <v>43.99</v>
      </c>
      <c r="E9" s="87">
        <f>D9/$D$10</f>
        <v>2.9078914316688482E-2</v>
      </c>
      <c r="F9" s="88">
        <v>43.61</v>
      </c>
      <c r="G9" s="87">
        <f>F9/$F$10</f>
        <v>2.8372900984365953E-2</v>
      </c>
      <c r="H9" s="88">
        <v>44</v>
      </c>
      <c r="I9" s="86">
        <f>H9/$H$10</f>
        <v>1.8561876436963446E-2</v>
      </c>
      <c r="J9" s="85">
        <v>85</v>
      </c>
      <c r="K9" s="86">
        <f>J9/$J$10</f>
        <v>0.10026659117182155</v>
      </c>
      <c r="L9" s="85">
        <v>123.91</v>
      </c>
      <c r="M9" s="86">
        <f>L9/$L$10</f>
        <v>6.7494621020235845E-2</v>
      </c>
      <c r="N9" s="85">
        <v>77.180000000000007</v>
      </c>
      <c r="O9" s="86">
        <f>N9/$N$10</f>
        <v>6.1412373184802076E-2</v>
      </c>
      <c r="P9" s="85">
        <v>155.93</v>
      </c>
      <c r="Q9" s="86">
        <f>P9/$P$10</f>
        <v>0.11178979818618488</v>
      </c>
      <c r="R9" s="85">
        <v>77.209999999999994</v>
      </c>
      <c r="S9" s="86">
        <f>R9/$R$10</f>
        <v>5.8638576451914233E-2</v>
      </c>
      <c r="T9" s="85">
        <v>21.17</v>
      </c>
      <c r="U9" s="86">
        <f>T9/$T$10</f>
        <v>1.5222768717461961E-2</v>
      </c>
      <c r="V9" s="85">
        <v>0</v>
      </c>
      <c r="W9" s="86">
        <f>V9/$V$10</f>
        <v>0</v>
      </c>
      <c r="X9" s="85"/>
      <c r="Y9" s="87">
        <f>X9/$X$10</f>
        <v>0</v>
      </c>
      <c r="Z9" s="89">
        <f>SUM(X9,V9,T9,R9,P9,N9,L9,J9,H9,F9,D9,B9)</f>
        <v>720.61</v>
      </c>
      <c r="AA9" s="140">
        <f>Z9/$Z$10</f>
        <v>3.9491495142821756E-2</v>
      </c>
      <c r="AB9" s="146">
        <f t="shared" si="1"/>
        <v>67.7</v>
      </c>
      <c r="AD9" s="129">
        <v>824.83</v>
      </c>
      <c r="AE9" s="130">
        <f t="shared" si="2"/>
        <v>9.4931456870943717E-2</v>
      </c>
      <c r="AG9" s="129">
        <v>2514.69</v>
      </c>
      <c r="AH9" s="130">
        <f t="shared" si="3"/>
        <v>0.17708236506984174</v>
      </c>
      <c r="AJ9" s="129">
        <v>772.96</v>
      </c>
      <c r="AK9" s="130">
        <f t="shared" si="4"/>
        <v>5.0328355798868893E-2</v>
      </c>
      <c r="AM9" s="129">
        <f t="shared" si="5"/>
        <v>720.61</v>
      </c>
      <c r="AN9" s="130">
        <f t="shared" si="6"/>
        <v>3.9491495142821756E-2</v>
      </c>
    </row>
    <row r="10" spans="1:40">
      <c r="A10" s="75" t="s">
        <v>338</v>
      </c>
      <c r="B10" s="305">
        <f>SUM(B3:B9)</f>
        <v>1711.3299999999997</v>
      </c>
      <c r="C10" s="296"/>
      <c r="D10" s="305">
        <f>SUM(D3:D9)</f>
        <v>1512.78</v>
      </c>
      <c r="E10" s="297"/>
      <c r="F10" s="296">
        <f>SUM(F3:F9)</f>
        <v>1537.03</v>
      </c>
      <c r="G10" s="297"/>
      <c r="H10" s="296">
        <f t="shared" ref="H10" si="7">SUM(H3:H9)</f>
        <v>2370.4499999999998</v>
      </c>
      <c r="I10" s="297"/>
      <c r="J10" s="296">
        <f t="shared" ref="J10" si="8">SUM(J3:J9)</f>
        <v>847.74</v>
      </c>
      <c r="K10" s="297"/>
      <c r="L10" s="296">
        <f t="shared" ref="L10" si="9">SUM(L3:L9)</f>
        <v>1835.8500000000001</v>
      </c>
      <c r="M10" s="297"/>
      <c r="N10" s="296">
        <f t="shared" ref="N10" si="10">SUM(N3:N9)</f>
        <v>1256.75</v>
      </c>
      <c r="O10" s="297"/>
      <c r="P10" s="296">
        <f t="shared" ref="P10" si="11">SUM(P3:P9)</f>
        <v>1394.8500000000001</v>
      </c>
      <c r="Q10" s="297"/>
      <c r="R10" s="296">
        <f>SUM(R3:R9)</f>
        <v>1316.71</v>
      </c>
      <c r="S10" s="297"/>
      <c r="T10" s="296">
        <f t="shared" ref="T10" si="12">SUM(T3:T9)</f>
        <v>1390.68</v>
      </c>
      <c r="U10" s="297"/>
      <c r="V10" s="296">
        <f t="shared" ref="V10" si="13">SUM(V3:V9)</f>
        <v>1461.45</v>
      </c>
      <c r="W10" s="297"/>
      <c r="X10" s="296">
        <f t="shared" ref="X10" si="14">SUM(X3:X9)</f>
        <v>1611.6</v>
      </c>
      <c r="Y10" s="297"/>
      <c r="Z10" s="296">
        <f t="shared" ref="Z10" si="15">SUM(Z3:Z9)</f>
        <v>18247.22</v>
      </c>
      <c r="AA10" s="296"/>
      <c r="AB10" s="147">
        <f t="shared" si="1"/>
        <v>1519.1081818181819</v>
      </c>
      <c r="AD10" s="278">
        <f>SUM(AD3:AD9)</f>
        <v>8688.69</v>
      </c>
      <c r="AE10" s="279"/>
      <c r="AG10" s="278">
        <f>SUM(AG3:AG9)</f>
        <v>14200.68</v>
      </c>
      <c r="AH10" s="279"/>
      <c r="AJ10" s="278">
        <f>SUM(AJ3:AJ9)</f>
        <v>15358.34</v>
      </c>
      <c r="AK10" s="279"/>
      <c r="AM10" s="278">
        <f>SUM(AM3:AM9)</f>
        <v>18247.22</v>
      </c>
      <c r="AN10" s="279"/>
    </row>
    <row r="11" spans="1:40">
      <c r="A11" s="200" t="s">
        <v>339</v>
      </c>
      <c r="B11" s="306">
        <v>2132.25</v>
      </c>
      <c r="C11" s="307"/>
      <c r="D11" s="306">
        <v>1383.75</v>
      </c>
      <c r="E11" s="307"/>
      <c r="F11" s="306">
        <v>1336.5</v>
      </c>
      <c r="G11" s="307"/>
      <c r="H11" s="306">
        <v>1336</v>
      </c>
      <c r="I11" s="307"/>
      <c r="J11" s="310">
        <v>2784</v>
      </c>
      <c r="K11" s="310"/>
      <c r="L11" s="306">
        <v>1302</v>
      </c>
      <c r="M11" s="307"/>
      <c r="N11" s="310">
        <v>1974</v>
      </c>
      <c r="O11" s="310"/>
      <c r="P11" s="306">
        <v>1660</v>
      </c>
      <c r="Q11" s="307"/>
      <c r="R11" s="310">
        <v>1587.5</v>
      </c>
      <c r="S11" s="310"/>
      <c r="T11" s="306">
        <v>2248.25</v>
      </c>
      <c r="U11" s="307"/>
      <c r="V11" s="310">
        <v>1968.2</v>
      </c>
      <c r="W11" s="310"/>
      <c r="X11" s="306">
        <v>2377.75</v>
      </c>
      <c r="Y11" s="307"/>
      <c r="Z11" s="310">
        <f>SUM(B11:Y11)</f>
        <v>22090.2</v>
      </c>
      <c r="AA11" s="311"/>
      <c r="AB11" s="201"/>
      <c r="AD11" s="205"/>
      <c r="AE11" s="206"/>
      <c r="AG11" s="205"/>
      <c r="AH11" s="206"/>
      <c r="AJ11" s="205"/>
      <c r="AK11" s="206"/>
      <c r="AM11" s="205"/>
      <c r="AN11" s="206"/>
    </row>
    <row r="12" spans="1:40">
      <c r="A12" s="202" t="s">
        <v>340</v>
      </c>
      <c r="B12" s="298">
        <v>1806.02</v>
      </c>
      <c r="C12" s="300"/>
      <c r="D12" s="298">
        <v>1815.37</v>
      </c>
      <c r="E12" s="299"/>
      <c r="F12" s="300">
        <v>1411.57</v>
      </c>
      <c r="G12" s="299"/>
      <c r="H12" s="300">
        <v>2301</v>
      </c>
      <c r="I12" s="300"/>
      <c r="J12" s="298">
        <v>1875.81</v>
      </c>
      <c r="K12" s="300"/>
      <c r="L12" s="298">
        <v>1493.92</v>
      </c>
      <c r="M12" s="300"/>
      <c r="N12" s="298">
        <v>2029.26</v>
      </c>
      <c r="O12" s="300"/>
      <c r="P12" s="298">
        <v>1693</v>
      </c>
      <c r="Q12" s="300"/>
      <c r="R12" s="298">
        <v>1705</v>
      </c>
      <c r="S12" s="300"/>
      <c r="T12" s="298">
        <v>2068</v>
      </c>
      <c r="U12" s="300"/>
      <c r="V12" s="298">
        <v>1857.2</v>
      </c>
      <c r="W12" s="300"/>
      <c r="X12" s="298">
        <v>2855</v>
      </c>
      <c r="Y12" s="299"/>
      <c r="Z12" s="300">
        <f>SUM(B12:Y12)</f>
        <v>22911.15</v>
      </c>
      <c r="AA12" s="300"/>
      <c r="AB12" s="201">
        <f t="shared" si="1"/>
        <v>1954.5072727272729</v>
      </c>
      <c r="AD12" s="278">
        <v>9266.59</v>
      </c>
      <c r="AE12" s="279"/>
      <c r="AG12" s="278">
        <v>15449.53</v>
      </c>
      <c r="AH12" s="279"/>
      <c r="AJ12" s="278">
        <v>17709.07</v>
      </c>
      <c r="AK12" s="279"/>
      <c r="AM12" s="278">
        <f>Z12</f>
        <v>22911.15</v>
      </c>
      <c r="AN12" s="279"/>
    </row>
    <row r="13" spans="1:40">
      <c r="A13" s="203" t="s">
        <v>341</v>
      </c>
      <c r="B13" s="308">
        <f>B11-B12</f>
        <v>326.23</v>
      </c>
      <c r="C13" s="309"/>
      <c r="D13" s="308">
        <f t="shared" ref="D13" si="16">D11-D12</f>
        <v>-431.61999999999989</v>
      </c>
      <c r="E13" s="309"/>
      <c r="F13" s="308">
        <f t="shared" ref="F13" si="17">F11-F12</f>
        <v>-75.069999999999936</v>
      </c>
      <c r="G13" s="309"/>
      <c r="H13" s="308">
        <f t="shared" ref="H13" si="18">H11-H12</f>
        <v>-965</v>
      </c>
      <c r="I13" s="309"/>
      <c r="J13" s="308">
        <f t="shared" ref="J13" si="19">J11-J12</f>
        <v>908.19</v>
      </c>
      <c r="K13" s="309"/>
      <c r="L13" s="308">
        <f t="shared" ref="L13" si="20">L11-L12</f>
        <v>-191.92000000000007</v>
      </c>
      <c r="M13" s="309"/>
      <c r="N13" s="308">
        <f t="shared" ref="N13" si="21">N11-N12</f>
        <v>-55.259999999999991</v>
      </c>
      <c r="O13" s="309"/>
      <c r="P13" s="308">
        <f t="shared" ref="P13" si="22">P11-P12</f>
        <v>-33</v>
      </c>
      <c r="Q13" s="309"/>
      <c r="R13" s="308">
        <f t="shared" ref="R13" si="23">R11-R12</f>
        <v>-117.5</v>
      </c>
      <c r="S13" s="309"/>
      <c r="T13" s="308">
        <f t="shared" ref="T13" si="24">T11-T12</f>
        <v>180.25</v>
      </c>
      <c r="U13" s="309"/>
      <c r="V13" s="308">
        <f t="shared" ref="V13" si="25">V11-V12</f>
        <v>111</v>
      </c>
      <c r="W13" s="309"/>
      <c r="X13" s="308">
        <f t="shared" ref="X13" si="26">X11-X12</f>
        <v>-477.25</v>
      </c>
      <c r="Y13" s="309"/>
      <c r="Z13" s="300">
        <f>SUM(B13:Y13)</f>
        <v>-820.94999999999982</v>
      </c>
      <c r="AA13" s="300"/>
      <c r="AB13" s="204"/>
      <c r="AD13" s="205"/>
      <c r="AE13" s="206"/>
      <c r="AG13" s="205"/>
      <c r="AH13" s="206"/>
      <c r="AJ13" s="205"/>
      <c r="AK13" s="206"/>
      <c r="AM13" s="205"/>
      <c r="AN13" s="206"/>
    </row>
    <row r="14" spans="1:40" s="72" customFormat="1">
      <c r="A14" s="124" t="s">
        <v>342</v>
      </c>
      <c r="B14" s="301">
        <f>B12-B10</f>
        <v>94.690000000000282</v>
      </c>
      <c r="C14" s="287"/>
      <c r="D14" s="284">
        <f>D12-D10</f>
        <v>302.58999999999992</v>
      </c>
      <c r="E14" s="291"/>
      <c r="F14" s="284">
        <f>F12-F10</f>
        <v>-125.46000000000004</v>
      </c>
      <c r="G14" s="291"/>
      <c r="H14" s="284">
        <f>H12-H10</f>
        <v>-69.449999999999818</v>
      </c>
      <c r="I14" s="285"/>
      <c r="J14" s="286">
        <f t="shared" ref="J14:Y14" si="27">J12-J10</f>
        <v>1028.07</v>
      </c>
      <c r="K14" s="287"/>
      <c r="L14" s="284">
        <f t="shared" ref="L14:Y14" si="28">L12-L10</f>
        <v>-341.93000000000006</v>
      </c>
      <c r="M14" s="291"/>
      <c r="N14" s="284">
        <f t="shared" ref="N14:Y14" si="29">N12-N10</f>
        <v>772.51</v>
      </c>
      <c r="O14" s="291"/>
      <c r="P14" s="284">
        <f t="shared" ref="P14:Y14" si="30">P12-P10</f>
        <v>298.14999999999986</v>
      </c>
      <c r="Q14" s="291"/>
      <c r="R14" s="301">
        <f t="shared" ref="R14:Y14" si="31">R12-R10</f>
        <v>388.28999999999996</v>
      </c>
      <c r="S14" s="287"/>
      <c r="T14" s="284">
        <f t="shared" ref="T14:Y14" si="32">T12-T10</f>
        <v>677.31999999999994</v>
      </c>
      <c r="U14" s="291"/>
      <c r="V14" s="284">
        <f t="shared" ref="V14:Y14" si="33">V12-V10</f>
        <v>395.75</v>
      </c>
      <c r="W14" s="291"/>
      <c r="X14" s="284">
        <f t="shared" ref="X14:Y14" si="34">X12-X10</f>
        <v>1243.4000000000001</v>
      </c>
      <c r="Y14" s="291"/>
      <c r="Z14" s="292">
        <f>SUM(B14:Y14)</f>
        <v>4663.93</v>
      </c>
      <c r="AA14" s="293"/>
      <c r="AB14" s="148">
        <f t="shared" si="1"/>
        <v>435.39909090909094</v>
      </c>
      <c r="AD14" s="280">
        <f>AD12-AD10</f>
        <v>577.89999999999964</v>
      </c>
      <c r="AE14" s="281"/>
      <c r="AG14" s="280">
        <f>AG12-AG10</f>
        <v>1248.8500000000004</v>
      </c>
      <c r="AH14" s="281"/>
      <c r="AJ14" s="280">
        <f>AJ12-AJ10</f>
        <v>2350.7299999999996</v>
      </c>
      <c r="AK14" s="281"/>
      <c r="AM14" s="280">
        <f>AM12-AM10</f>
        <v>4663.93</v>
      </c>
      <c r="AN14" s="281"/>
    </row>
    <row r="15" spans="1:40">
      <c r="Z15" s="199"/>
      <c r="AA15" s="199"/>
    </row>
    <row r="16" spans="1:40">
      <c r="X16" s="277" t="s">
        <v>343</v>
      </c>
      <c r="Y16" s="277"/>
      <c r="Z16" s="276">
        <v>3725</v>
      </c>
      <c r="AA16" s="276"/>
    </row>
    <row r="17" spans="24:27">
      <c r="X17" s="277" t="s">
        <v>344</v>
      </c>
      <c r="Y17" s="277"/>
      <c r="Z17" s="276">
        <f>Z14-2663.93</f>
        <v>2000.0000000000005</v>
      </c>
      <c r="AA17" s="277"/>
    </row>
  </sheetData>
  <mergeCells count="99">
    <mergeCell ref="R13:S13"/>
    <mergeCell ref="T13:U13"/>
    <mergeCell ref="V13:W13"/>
    <mergeCell ref="X13:Y13"/>
    <mergeCell ref="Z13:AA13"/>
    <mergeCell ref="B13:C13"/>
    <mergeCell ref="D13:E13"/>
    <mergeCell ref="F13:G13"/>
    <mergeCell ref="H13:I13"/>
    <mergeCell ref="J13:K13"/>
    <mergeCell ref="R11:S11"/>
    <mergeCell ref="T11:U11"/>
    <mergeCell ref="V11:W11"/>
    <mergeCell ref="X11:Y11"/>
    <mergeCell ref="Z11:AA11"/>
    <mergeCell ref="B11:C11"/>
    <mergeCell ref="D11:E11"/>
    <mergeCell ref="F11:G11"/>
    <mergeCell ref="H11:I11"/>
    <mergeCell ref="J11:K11"/>
    <mergeCell ref="AD10:AE10"/>
    <mergeCell ref="AG10:AH10"/>
    <mergeCell ref="AJ10:AK10"/>
    <mergeCell ref="L12:M12"/>
    <mergeCell ref="N12:O12"/>
    <mergeCell ref="P12:Q12"/>
    <mergeCell ref="R12:S12"/>
    <mergeCell ref="T12:U12"/>
    <mergeCell ref="N10:O10"/>
    <mergeCell ref="P10:Q10"/>
    <mergeCell ref="V12:W12"/>
    <mergeCell ref="AD12:AE12"/>
    <mergeCell ref="AG12:AH12"/>
    <mergeCell ref="AJ12:AK12"/>
    <mergeCell ref="L11:M11"/>
    <mergeCell ref="N11:O11"/>
    <mergeCell ref="B12:C12"/>
    <mergeCell ref="D12:E12"/>
    <mergeCell ref="F12:G12"/>
    <mergeCell ref="H12:I12"/>
    <mergeCell ref="J12:K12"/>
    <mergeCell ref="R1:S1"/>
    <mergeCell ref="T1:U1"/>
    <mergeCell ref="V1:W1"/>
    <mergeCell ref="R10:S10"/>
    <mergeCell ref="T10:U10"/>
    <mergeCell ref="V10:W10"/>
    <mergeCell ref="F14:G14"/>
    <mergeCell ref="L1:M1"/>
    <mergeCell ref="N1:O1"/>
    <mergeCell ref="P1:Q1"/>
    <mergeCell ref="L14:M14"/>
    <mergeCell ref="N14:O14"/>
    <mergeCell ref="P14:Q14"/>
    <mergeCell ref="P11:Q11"/>
    <mergeCell ref="L13:M13"/>
    <mergeCell ref="N13:O13"/>
    <mergeCell ref="P13:Q13"/>
    <mergeCell ref="AD1:AE1"/>
    <mergeCell ref="R14:S14"/>
    <mergeCell ref="A1:A2"/>
    <mergeCell ref="B1:C1"/>
    <mergeCell ref="D1:E1"/>
    <mergeCell ref="F1:G1"/>
    <mergeCell ref="H1:I1"/>
    <mergeCell ref="J1:K1"/>
    <mergeCell ref="B10:C10"/>
    <mergeCell ref="D10:E10"/>
    <mergeCell ref="F10:G10"/>
    <mergeCell ref="H10:I10"/>
    <mergeCell ref="J10:K10"/>
    <mergeCell ref="L10:M10"/>
    <mergeCell ref="B14:C14"/>
    <mergeCell ref="D14:E14"/>
    <mergeCell ref="AG1:AH1"/>
    <mergeCell ref="AJ1:AK1"/>
    <mergeCell ref="H14:I14"/>
    <mergeCell ref="J14:K14"/>
    <mergeCell ref="AM1:AN1"/>
    <mergeCell ref="AM10:AN10"/>
    <mergeCell ref="Z1:AB1"/>
    <mergeCell ref="T14:U14"/>
    <mergeCell ref="V14:W14"/>
    <mergeCell ref="Z14:AA14"/>
    <mergeCell ref="X14:Y14"/>
    <mergeCell ref="X1:Y1"/>
    <mergeCell ref="X10:Y10"/>
    <mergeCell ref="Z10:AA10"/>
    <mergeCell ref="X12:Y12"/>
    <mergeCell ref="Z12:AA12"/>
    <mergeCell ref="Z16:AA16"/>
    <mergeCell ref="X16:Y16"/>
    <mergeCell ref="Z17:AA17"/>
    <mergeCell ref="X17:Y17"/>
    <mergeCell ref="AM12:AN12"/>
    <mergeCell ref="AD14:AE14"/>
    <mergeCell ref="AG14:AH14"/>
    <mergeCell ref="AJ14:AK14"/>
    <mergeCell ref="AM14:AN1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98C88-0AA2-4762-961F-3B49F76E1A29}">
  <dimension ref="D3:T10"/>
  <sheetViews>
    <sheetView workbookViewId="0">
      <selection activeCell="I11" sqref="I11"/>
    </sheetView>
  </sheetViews>
  <sheetFormatPr defaultRowHeight="15"/>
  <sheetData>
    <row r="3" spans="4:20">
      <c r="J3" s="315" t="s">
        <v>345</v>
      </c>
      <c r="K3" s="316"/>
      <c r="L3" s="316"/>
      <c r="M3" s="316"/>
      <c r="N3" s="317"/>
    </row>
    <row r="4" spans="4:20" ht="35.25" customHeight="1">
      <c r="J4" s="312" t="s">
        <v>346</v>
      </c>
      <c r="K4" s="313"/>
      <c r="L4" s="313"/>
      <c r="M4" s="313"/>
      <c r="N4" s="314"/>
    </row>
    <row r="5" spans="4:20">
      <c r="I5" s="315" t="s">
        <v>347</v>
      </c>
      <c r="J5" s="316"/>
      <c r="K5" s="316"/>
      <c r="L5" s="316"/>
      <c r="M5" s="316"/>
      <c r="N5" s="316"/>
      <c r="O5" s="317"/>
    </row>
    <row r="6" spans="4:20" ht="36" customHeight="1">
      <c r="I6" s="312" t="s">
        <v>348</v>
      </c>
      <c r="J6" s="313"/>
      <c r="K6" s="313"/>
      <c r="L6" s="313"/>
      <c r="M6" s="313"/>
      <c r="N6" s="313"/>
      <c r="O6" s="314"/>
    </row>
    <row r="7" spans="4:20">
      <c r="D7" s="315" t="s">
        <v>349</v>
      </c>
      <c r="E7" s="316"/>
      <c r="F7" s="316"/>
      <c r="G7" s="316"/>
      <c r="H7" s="316"/>
      <c r="I7" s="318"/>
      <c r="J7" s="318"/>
      <c r="K7" s="318"/>
      <c r="L7" s="319"/>
      <c r="M7" s="320" t="s">
        <v>350</v>
      </c>
      <c r="N7" s="320"/>
      <c r="O7" s="320"/>
      <c r="P7" s="321"/>
      <c r="Q7" s="321"/>
      <c r="R7" s="321"/>
      <c r="S7" s="321"/>
      <c r="T7" s="322"/>
    </row>
    <row r="8" spans="4:20" ht="46.5" customHeight="1">
      <c r="D8" s="312" t="s">
        <v>351</v>
      </c>
      <c r="E8" s="313"/>
      <c r="F8" s="313"/>
      <c r="G8" s="313"/>
      <c r="H8" s="313"/>
      <c r="I8" s="313"/>
      <c r="J8" s="313"/>
      <c r="K8" s="313"/>
      <c r="L8" s="314"/>
      <c r="M8" s="313" t="s">
        <v>352</v>
      </c>
      <c r="N8" s="313"/>
      <c r="O8" s="313"/>
      <c r="P8" s="313"/>
      <c r="Q8" s="313"/>
      <c r="R8" s="313"/>
      <c r="S8" s="313"/>
      <c r="T8" s="314"/>
    </row>
    <row r="9" spans="4:20">
      <c r="G9" s="114"/>
      <c r="H9" s="114"/>
      <c r="I9" s="114"/>
      <c r="J9" s="114"/>
      <c r="K9" s="114"/>
      <c r="L9" s="114"/>
      <c r="M9" s="114"/>
      <c r="N9" s="114"/>
      <c r="O9" s="114"/>
      <c r="P9" s="114"/>
      <c r="Q9" s="114"/>
    </row>
    <row r="10" spans="4:20">
      <c r="G10" s="115"/>
      <c r="H10" s="115"/>
      <c r="I10" s="115"/>
      <c r="J10" s="115"/>
      <c r="K10" s="115"/>
      <c r="L10" s="115"/>
      <c r="M10" s="115"/>
      <c r="O10" s="115"/>
      <c r="P10" s="115"/>
      <c r="Q10" s="115"/>
    </row>
  </sheetData>
  <mergeCells count="8">
    <mergeCell ref="D8:L8"/>
    <mergeCell ref="M8:T8"/>
    <mergeCell ref="J3:N3"/>
    <mergeCell ref="J4:N4"/>
    <mergeCell ref="I5:O5"/>
    <mergeCell ref="I6:O6"/>
    <mergeCell ref="D7:L7"/>
    <mergeCell ref="M7:T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2024-11-05T15:30:52Z</dcterms:created>
  <dcterms:modified xsi:type="dcterms:W3CDTF">2026-01-28T12:38:32Z</dcterms:modified>
  <cp:category/>
  <cp:contentStatus/>
</cp:coreProperties>
</file>